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6dd3a8d7244e87/Alex's Stuff/School Info Current/MECH 408/"/>
    </mc:Choice>
  </mc:AlternateContent>
  <xr:revisionPtr revIDLastSave="4" documentId="11_F25DC773A252ABDACC1048B911DF76385BDE58EA" xr6:coauthVersionLast="47" xr6:coauthVersionMax="47" xr10:uidLastSave="{69622866-3FC0-49FD-AAA8-60AF88870676}"/>
  <bookViews>
    <workbookView xWindow="7988" yWindow="3308" windowWidth="13612" windowHeight="10252" xr2:uid="{00000000-000D-0000-FFFF-FFFF00000000}"/>
  </bookViews>
  <sheets>
    <sheet name="Problem Statement" sheetId="1" r:id="rId1"/>
    <sheet name="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N11" i="2" l="1"/>
  <c r="N7" i="2"/>
  <c r="N30" i="2"/>
  <c r="N26" i="2"/>
  <c r="N22" i="2"/>
  <c r="N15" i="2"/>
  <c r="T11" i="2" l="1"/>
  <c r="Z11" i="2"/>
  <c r="T7" i="2"/>
  <c r="Z7" i="2"/>
  <c r="P11" i="2"/>
  <c r="Z30" i="2"/>
  <c r="T30" i="2"/>
  <c r="T26" i="2"/>
  <c r="Z26" i="2"/>
  <c r="T22" i="2"/>
  <c r="V26" i="2" s="1"/>
  <c r="Z22" i="2"/>
  <c r="AB26" i="2" s="1"/>
  <c r="P26" i="2"/>
  <c r="T15" i="2"/>
  <c r="Z15" i="2"/>
  <c r="V11" i="2" l="1"/>
  <c r="AB11" i="2"/>
  <c r="AB19" i="2" s="1"/>
</calcChain>
</file>

<file path=xl/sharedStrings.xml><?xml version="1.0" encoding="utf-8"?>
<sst xmlns="http://schemas.openxmlformats.org/spreadsheetml/2006/main" count="71" uniqueCount="66">
  <si>
    <t>Base Case</t>
  </si>
  <si>
    <t xml:space="preserve">GoaL Seek </t>
  </si>
  <si>
    <t>Portfolio</t>
  </si>
  <si>
    <t>Probability</t>
  </si>
  <si>
    <t>Return %</t>
  </si>
  <si>
    <t>Gain $</t>
  </si>
  <si>
    <t>Expected Value</t>
  </si>
  <si>
    <t>Risk</t>
  </si>
  <si>
    <t>Utility</t>
  </si>
  <si>
    <t>Expected Utility</t>
  </si>
  <si>
    <t>High Growth</t>
  </si>
  <si>
    <t>Invest</t>
  </si>
  <si>
    <t>Moderate Growth</t>
  </si>
  <si>
    <t>Market Correction</t>
  </si>
  <si>
    <t>Utility Difference</t>
  </si>
  <si>
    <t>Benchmark Exceeds</t>
  </si>
  <si>
    <t>Crypto Average</t>
  </si>
  <si>
    <t>Do Not Invest</t>
  </si>
  <si>
    <t>Benchmark Matches</t>
  </si>
  <si>
    <t>Benchmark Underperforms</t>
  </si>
  <si>
    <t>GlobalVest Partners, a prominent investment bank, is debating whether to allocate</t>
  </si>
  <si>
    <t>a portion of their managed portfolio to cryptocurrencies. The decision hinges on the potential</t>
  </si>
  <si>
    <t>returns and the inherent risks associated with this asset class.</t>
  </si>
  <si>
    <t>Decision Node:</t>
  </si>
  <si>
    <t>• Invest in Cryptocurrency? GlobalVest must decide whether to allocate 15% of a $1</t>
  </si>
  <si>
    <t>billion portfolio to a diversified basket of cryptocurrencies or to maintain their current</t>
  </si>
  <si>
    <t>asset allocation (no cryptocurrency).</t>
  </si>
  <si>
    <t>Chance Node 1 (Market Performance - if they invest):</t>
  </si>
  <si>
    <t>If GlobalVest invests in cryptocurrency, the returns over the next year are uncertain and are</t>
  </si>
  <si>
    <t>estimated as follows:</t>
  </si>
  <si>
    <t>• High Growth (Probability = 0.3): The cryptocurrency market experiences significant</t>
  </si>
  <si>
    <t>adoption and positive sentiment, resulting in a 30% return on the allocated capital.</t>
  </si>
  <si>
    <t>• Moderate Growth (Probability = 0.5): The market sees steady but less dramatic</t>
  </si>
  <si>
    <t>growth, yielding a 10% return on the allocated capital.</t>
  </si>
  <si>
    <t>• Market Correction (Probability = 0.2): Regulatory headwinds or negative market</t>
  </si>
  <si>
    <t>sentiment lead to a significant downturn, resulting in a -20% return on the allocated</t>
  </si>
  <si>
    <t>capital.</t>
  </si>
  <si>
    <t>Chance Node 2 (Opportunity Cost - if they don't invest):</t>
  </si>
  <si>
    <t>If GlobalVest does not invest in cryptocurrency, they forgo the potential returns but also avoid</t>
  </si>
  <si>
    <t>the direct risks of this volatile asset class. However, there's an opportunity cost associated with</t>
  </si>
  <si>
    <t>potentially missing out on significant gains. The estimated "benchmark" return for their current</t>
  </si>
  <si>
    <t>portfolio allocation over the next year is:</t>
  </si>
  <si>
    <t>• Benchmark Exceeds Crypto Average (Probability = 0.2): Their traditional portfolio</t>
  </si>
  <si>
    <t>performs exceptionally well, yielding a 20% return, outperforming the expected return of</t>
  </si>
  <si>
    <t>the cryptocurrency investment.</t>
  </si>
  <si>
    <t>• Benchmark Matches Crypto Average (Probability = 0.5): Their traditional portfolio</t>
  </si>
  <si>
    <t>performs in line with the expected return of the cryptocurrency investment, yielding a</t>
  </si>
  <si>
    <t>10% return.</t>
  </si>
  <si>
    <t>• Benchmark Underperforms Crypto Average (Probability = 0.3): Their traditional</t>
  </si>
  <si>
    <t>portfolio underperforms the expected return of the cryptocurrency investment, yielding a</t>
  </si>
  <si>
    <t>0% return.</t>
  </si>
  <si>
    <t>Utility Function:</t>
  </si>
  <si>
    <t>GlobalVest's risk aversion can be represented by the following utility function, where (W) is the</t>
  </si>
  <si>
    <t>investment gain and (R) is the risk tolerance ($50 million):</t>
  </si>
  <si>
    <t>U(W) = 1 – exp(-W/R)</t>
  </si>
  <si>
    <t>1. Construct a decision tree illustrating GlobalVest's decision and the possible outcomes.</t>
  </si>
  <si>
    <t>Clearly label all nodes, branches, probabilities, and potential gains at the end of the year for</t>
  </si>
  <si>
    <t>each path.</t>
  </si>
  <si>
    <t>2. Calculate the Expected Value (EV) of the portfolio gains at the end of the year for both</t>
  </si>
  <si>
    <t>strategies (Invest in Cryptocurrency and Do Not Invest). Based solely on expected value,</t>
  </si>
  <si>
    <t>which decision should GlobalVest make?</t>
  </si>
  <si>
    <t>3. Calculate the Expected Utility (EU) for both strategies using the provided utility function.</t>
  </si>
  <si>
    <t>4. At what risk tolerance value, are both strategies equivalent?</t>
  </si>
  <si>
    <t>5. Based on the expected utility, and considering GlobalVest's risk aversion as represented by</t>
  </si>
  <si>
    <t>the utility function, which decision should they make? Explain why the decision based on</t>
  </si>
  <si>
    <t>expected utility might differ from the decision based on expected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</si>
</sst>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6" borderId="0" xfId="1" applyNumberFormat="1" applyFon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</xdr:col>
      <xdr:colOff>453663</xdr:colOff>
      <xdr:row>19</xdr:row>
      <xdr:rowOff>53031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F46E4-0639-40C9-AFF6-1D18F2C5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3" y="3076575"/>
          <a:ext cx="1106125" cy="414981"/>
        </a:xfrm>
        <a:prstGeom prst="rect">
          <a:avLst/>
        </a:prstGeom>
      </xdr:spPr>
    </xdr:pic>
    <xdr:clientData/>
  </xdr:twoCellAnchor>
  <xdr:twoCellAnchor>
    <xdr:from>
      <xdr:col>2</xdr:col>
      <xdr:colOff>453663</xdr:colOff>
      <xdr:row>10</xdr:row>
      <xdr:rowOff>140285</xdr:rowOff>
    </xdr:from>
    <xdr:to>
      <xdr:col>6</xdr:col>
      <xdr:colOff>57150</xdr:colOff>
      <xdr:row>18</xdr:row>
      <xdr:rowOff>26516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DC16A9C-57F2-4576-A7D8-2CB2C4649766}"/>
            </a:ext>
          </a:extLst>
        </xdr:cNvPr>
        <xdr:cNvCxnSpPr>
          <a:stCxn id="2" idx="3"/>
          <a:endCxn id="4" idx="1"/>
        </xdr:cNvCxnSpPr>
      </xdr:nvCxnSpPr>
      <xdr:spPr>
        <a:xfrm flipV="1">
          <a:off x="1758588" y="1950035"/>
          <a:ext cx="2756262" cy="133403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57150</xdr:colOff>
      <xdr:row>9</xdr:row>
      <xdr:rowOff>66675</xdr:rowOff>
    </xdr:from>
    <xdr:to>
      <xdr:col>7</xdr:col>
      <xdr:colOff>140645</xdr:colOff>
      <xdr:row>12</xdr:row>
      <xdr:rowOff>23395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EA9483-9ED4-4925-AECE-AA7BCB69C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4850" y="1695450"/>
          <a:ext cx="735958" cy="49964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23</xdr:row>
      <xdr:rowOff>142875</xdr:rowOff>
    </xdr:from>
    <xdr:to>
      <xdr:col>7</xdr:col>
      <xdr:colOff>102545</xdr:colOff>
      <xdr:row>26</xdr:row>
      <xdr:rowOff>99595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048CFD-36C9-4266-A8A0-46C2093C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0" y="4305300"/>
          <a:ext cx="735958" cy="499645"/>
        </a:xfrm>
        <a:prstGeom prst="rect">
          <a:avLst/>
        </a:prstGeom>
      </xdr:spPr>
    </xdr:pic>
    <xdr:clientData/>
  </xdr:twoCellAnchor>
  <xdr:twoCellAnchor>
    <xdr:from>
      <xdr:col>2</xdr:col>
      <xdr:colOff>453663</xdr:colOff>
      <xdr:row>18</xdr:row>
      <xdr:rowOff>26516</xdr:rowOff>
    </xdr:from>
    <xdr:to>
      <xdr:col>6</xdr:col>
      <xdr:colOff>19050</xdr:colOff>
      <xdr:row>25</xdr:row>
      <xdr:rowOff>25985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9F56000-7DDA-4B2E-B53E-1F4E14234D8F}"/>
            </a:ext>
          </a:extLst>
        </xdr:cNvPr>
        <xdr:cNvCxnSpPr>
          <a:stCxn id="2" idx="3"/>
          <a:endCxn id="5" idx="1"/>
        </xdr:cNvCxnSpPr>
      </xdr:nvCxnSpPr>
      <xdr:spPr>
        <a:xfrm>
          <a:off x="1758588" y="3284066"/>
          <a:ext cx="2718162" cy="126629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403698</xdr:colOff>
      <xdr:row>6</xdr:row>
      <xdr:rowOff>152400</xdr:rowOff>
    </xdr:from>
    <xdr:to>
      <xdr:col>9</xdr:col>
      <xdr:colOff>266700</xdr:colOff>
      <xdr:row>9</xdr:row>
      <xdr:rowOff>66675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933136B-844B-4642-A6BE-53EE506E9E82}"/>
            </a:ext>
          </a:extLst>
        </xdr:cNvPr>
        <xdr:cNvCxnSpPr>
          <a:stCxn id="4" idx="0"/>
        </xdr:cNvCxnSpPr>
      </xdr:nvCxnSpPr>
      <xdr:spPr>
        <a:xfrm flipV="1">
          <a:off x="4861398" y="1238250"/>
          <a:ext cx="1820390" cy="45720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140645</xdr:colOff>
      <xdr:row>10</xdr:row>
      <xdr:rowOff>140285</xdr:rowOff>
    </xdr:from>
    <xdr:to>
      <xdr:col>9</xdr:col>
      <xdr:colOff>228600</xdr:colOff>
      <xdr:row>10</xdr:row>
      <xdr:rowOff>161925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373A015-5B4D-4AFC-BE89-C18FDFA3D6B4}"/>
            </a:ext>
          </a:extLst>
        </xdr:cNvPr>
        <xdr:cNvCxnSpPr>
          <a:stCxn id="4" idx="3"/>
        </xdr:cNvCxnSpPr>
      </xdr:nvCxnSpPr>
      <xdr:spPr>
        <a:xfrm>
          <a:off x="5250808" y="1950035"/>
          <a:ext cx="1392880" cy="2164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403698</xdr:colOff>
      <xdr:row>12</xdr:row>
      <xdr:rowOff>23395</xdr:rowOff>
    </xdr:from>
    <xdr:to>
      <xdr:col>9</xdr:col>
      <xdr:colOff>209550</xdr:colOff>
      <xdr:row>14</xdr:row>
      <xdr:rowOff>161925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19C067B-9EFC-4AC5-A0ED-C1F21AB39B87}"/>
            </a:ext>
          </a:extLst>
        </xdr:cNvPr>
        <xdr:cNvCxnSpPr>
          <a:stCxn id="4" idx="2"/>
        </xdr:cNvCxnSpPr>
      </xdr:nvCxnSpPr>
      <xdr:spPr>
        <a:xfrm>
          <a:off x="4861398" y="2195095"/>
          <a:ext cx="1763240" cy="50048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365598</xdr:colOff>
      <xdr:row>26</xdr:row>
      <xdr:rowOff>99595</xdr:rowOff>
    </xdr:from>
    <xdr:to>
      <xdr:col>9</xdr:col>
      <xdr:colOff>85725</xdr:colOff>
      <xdr:row>29</xdr:row>
      <xdr:rowOff>85725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62229FC-D71E-4699-BD0D-151B60647A2B}"/>
            </a:ext>
          </a:extLst>
        </xdr:cNvPr>
        <xdr:cNvCxnSpPr>
          <a:stCxn id="5" idx="2"/>
        </xdr:cNvCxnSpPr>
      </xdr:nvCxnSpPr>
      <xdr:spPr>
        <a:xfrm>
          <a:off x="4823298" y="4804945"/>
          <a:ext cx="1677515" cy="52905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365598</xdr:colOff>
      <xdr:row>21</xdr:row>
      <xdr:rowOff>19050</xdr:rowOff>
    </xdr:from>
    <xdr:to>
      <xdr:col>9</xdr:col>
      <xdr:colOff>114300</xdr:colOff>
      <xdr:row>23</xdr:row>
      <xdr:rowOff>142875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2EB6D08-8641-4B0D-A81F-0C76D2A62A7D}"/>
            </a:ext>
          </a:extLst>
        </xdr:cNvPr>
        <xdr:cNvCxnSpPr>
          <a:stCxn id="5" idx="0"/>
        </xdr:cNvCxnSpPr>
      </xdr:nvCxnSpPr>
      <xdr:spPr>
        <a:xfrm flipV="1">
          <a:off x="4823298" y="3819525"/>
          <a:ext cx="1706090" cy="48577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102545</xdr:colOff>
      <xdr:row>25</xdr:row>
      <xdr:rowOff>25985</xdr:rowOff>
    </xdr:from>
    <xdr:to>
      <xdr:col>9</xdr:col>
      <xdr:colOff>180975</xdr:colOff>
      <xdr:row>25</xdr:row>
      <xdr:rowOff>38100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F693EECA-8F9A-4AE3-B197-035FCCD63B23}"/>
            </a:ext>
          </a:extLst>
        </xdr:cNvPr>
        <xdr:cNvCxnSpPr>
          <a:stCxn id="5" idx="3"/>
        </xdr:cNvCxnSpPr>
      </xdr:nvCxnSpPr>
      <xdr:spPr>
        <a:xfrm>
          <a:off x="5212708" y="4550360"/>
          <a:ext cx="1383355" cy="121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tabSelected="1" workbookViewId="0">
      <selection activeCell="B15" sqref="B15"/>
    </sheetView>
  </sheetViews>
  <sheetFormatPr defaultRowHeight="14.25" x14ac:dyDescent="0.45"/>
  <sheetData>
    <row r="1" spans="1:1" ht="15.75" x14ac:dyDescent="0.45">
      <c r="A1" s="14" t="s">
        <v>20</v>
      </c>
    </row>
    <row r="2" spans="1:1" ht="15.75" x14ac:dyDescent="0.45">
      <c r="A2" s="14" t="s">
        <v>21</v>
      </c>
    </row>
    <row r="3" spans="1:1" ht="15.75" x14ac:dyDescent="0.45">
      <c r="A3" s="14" t="s">
        <v>22</v>
      </c>
    </row>
    <row r="4" spans="1:1" ht="15.75" x14ac:dyDescent="0.45">
      <c r="A4" s="14" t="s">
        <v>23</v>
      </c>
    </row>
    <row r="5" spans="1:1" ht="15.75" x14ac:dyDescent="0.45">
      <c r="A5" s="14" t="s">
        <v>24</v>
      </c>
    </row>
    <row r="6" spans="1:1" ht="15.75" x14ac:dyDescent="0.45">
      <c r="A6" s="14" t="s">
        <v>25</v>
      </c>
    </row>
    <row r="7" spans="1:1" ht="15.75" x14ac:dyDescent="0.45">
      <c r="A7" s="14" t="s">
        <v>26</v>
      </c>
    </row>
    <row r="8" spans="1:1" ht="15.75" x14ac:dyDescent="0.45">
      <c r="A8" s="14" t="s">
        <v>27</v>
      </c>
    </row>
    <row r="9" spans="1:1" ht="15.75" x14ac:dyDescent="0.45">
      <c r="A9" s="14" t="s">
        <v>28</v>
      </c>
    </row>
    <row r="10" spans="1:1" ht="15.75" x14ac:dyDescent="0.45">
      <c r="A10" s="14" t="s">
        <v>29</v>
      </c>
    </row>
    <row r="11" spans="1:1" ht="15.75" x14ac:dyDescent="0.45">
      <c r="A11" s="14" t="s">
        <v>30</v>
      </c>
    </row>
    <row r="12" spans="1:1" ht="15.75" x14ac:dyDescent="0.45">
      <c r="A12" s="14" t="s">
        <v>31</v>
      </c>
    </row>
    <row r="13" spans="1:1" ht="15.75" x14ac:dyDescent="0.45">
      <c r="A13" s="14" t="s">
        <v>32</v>
      </c>
    </row>
    <row r="14" spans="1:1" ht="15.75" x14ac:dyDescent="0.45">
      <c r="A14" s="14" t="s">
        <v>33</v>
      </c>
    </row>
    <row r="15" spans="1:1" ht="15.75" x14ac:dyDescent="0.45">
      <c r="A15" s="14" t="s">
        <v>34</v>
      </c>
    </row>
    <row r="16" spans="1:1" ht="15.75" x14ac:dyDescent="0.45">
      <c r="A16" s="14" t="s">
        <v>35</v>
      </c>
    </row>
    <row r="17" spans="1:1" ht="15.75" x14ac:dyDescent="0.45">
      <c r="A17" s="14" t="s">
        <v>36</v>
      </c>
    </row>
    <row r="18" spans="1:1" ht="15.75" x14ac:dyDescent="0.45">
      <c r="A18" s="14" t="s">
        <v>37</v>
      </c>
    </row>
    <row r="19" spans="1:1" ht="15.75" x14ac:dyDescent="0.45">
      <c r="A19" s="14" t="s">
        <v>38</v>
      </c>
    </row>
    <row r="20" spans="1:1" ht="15.75" x14ac:dyDescent="0.45">
      <c r="A20" s="14" t="s">
        <v>39</v>
      </c>
    </row>
    <row r="21" spans="1:1" ht="15.75" x14ac:dyDescent="0.45">
      <c r="A21" s="14" t="s">
        <v>40</v>
      </c>
    </row>
    <row r="22" spans="1:1" ht="15.75" x14ac:dyDescent="0.45">
      <c r="A22" s="14" t="s">
        <v>41</v>
      </c>
    </row>
    <row r="23" spans="1:1" ht="15.75" x14ac:dyDescent="0.45">
      <c r="A23" s="14" t="s">
        <v>42</v>
      </c>
    </row>
    <row r="24" spans="1:1" ht="15.75" x14ac:dyDescent="0.45">
      <c r="A24" s="14" t="s">
        <v>43</v>
      </c>
    </row>
    <row r="25" spans="1:1" ht="15.75" x14ac:dyDescent="0.45">
      <c r="A25" s="14" t="s">
        <v>44</v>
      </c>
    </row>
    <row r="26" spans="1:1" ht="15.75" x14ac:dyDescent="0.45">
      <c r="A26" s="14" t="s">
        <v>45</v>
      </c>
    </row>
    <row r="27" spans="1:1" ht="15.75" x14ac:dyDescent="0.45">
      <c r="A27" s="14" t="s">
        <v>46</v>
      </c>
    </row>
    <row r="28" spans="1:1" ht="15.75" x14ac:dyDescent="0.45">
      <c r="A28" s="14" t="s">
        <v>47</v>
      </c>
    </row>
    <row r="29" spans="1:1" ht="15.75" x14ac:dyDescent="0.45">
      <c r="A29" s="14" t="s">
        <v>48</v>
      </c>
    </row>
    <row r="30" spans="1:1" ht="15.75" x14ac:dyDescent="0.45">
      <c r="A30" s="14" t="s">
        <v>49</v>
      </c>
    </row>
    <row r="31" spans="1:1" ht="15.75" x14ac:dyDescent="0.45">
      <c r="A31" s="14" t="s">
        <v>50</v>
      </c>
    </row>
    <row r="32" spans="1:1" ht="15.75" x14ac:dyDescent="0.45">
      <c r="A32" s="14" t="s">
        <v>51</v>
      </c>
    </row>
    <row r="33" spans="1:1" ht="15.75" x14ac:dyDescent="0.45">
      <c r="A33" s="14" t="s">
        <v>52</v>
      </c>
    </row>
    <row r="34" spans="1:1" ht="15.75" x14ac:dyDescent="0.45">
      <c r="A34" s="14" t="s">
        <v>53</v>
      </c>
    </row>
    <row r="35" spans="1:1" ht="15.75" x14ac:dyDescent="0.45">
      <c r="A35" s="14" t="s">
        <v>54</v>
      </c>
    </row>
    <row r="36" spans="1:1" ht="15.75" x14ac:dyDescent="0.45">
      <c r="A36" s="14" t="s">
        <v>55</v>
      </c>
    </row>
    <row r="37" spans="1:1" ht="15.75" x14ac:dyDescent="0.45">
      <c r="A37" s="14" t="s">
        <v>56</v>
      </c>
    </row>
    <row r="38" spans="1:1" ht="15.75" x14ac:dyDescent="0.45">
      <c r="A38" s="14" t="s">
        <v>57</v>
      </c>
    </row>
    <row r="39" spans="1:1" ht="15.75" x14ac:dyDescent="0.45">
      <c r="A39" s="14" t="s">
        <v>58</v>
      </c>
    </row>
    <row r="40" spans="1:1" ht="15.75" x14ac:dyDescent="0.45">
      <c r="A40" s="14" t="s">
        <v>59</v>
      </c>
    </row>
    <row r="41" spans="1:1" ht="15.75" x14ac:dyDescent="0.45">
      <c r="A41" s="14" t="s">
        <v>60</v>
      </c>
    </row>
    <row r="42" spans="1:1" ht="15.75" x14ac:dyDescent="0.45">
      <c r="A42" s="14" t="s">
        <v>61</v>
      </c>
    </row>
    <row r="43" spans="1:1" ht="15.75" x14ac:dyDescent="0.45">
      <c r="A43" s="14" t="s">
        <v>62</v>
      </c>
    </row>
    <row r="44" spans="1:1" ht="15.75" x14ac:dyDescent="0.45">
      <c r="A44" s="14" t="s">
        <v>63</v>
      </c>
    </row>
    <row r="45" spans="1:1" ht="15.75" x14ac:dyDescent="0.45">
      <c r="A45" s="14" t="s">
        <v>64</v>
      </c>
    </row>
    <row r="46" spans="1:1" ht="15.75" x14ac:dyDescent="0.45">
      <c r="A46" s="1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B7C7-CC10-4463-8B92-1E976E0D20AF}">
  <dimension ref="D3:AD31"/>
  <sheetViews>
    <sheetView workbookViewId="0">
      <selection activeCell="X5" sqref="X5"/>
    </sheetView>
  </sheetViews>
  <sheetFormatPr defaultColWidth="9.1328125" defaultRowHeight="14.25" x14ac:dyDescent="0.45"/>
  <cols>
    <col min="1" max="3" width="9.1328125" style="1"/>
    <col min="4" max="4" width="14.265625" style="1" bestFit="1" customWidth="1"/>
    <col min="5" max="5" width="11.59765625" style="1" bestFit="1" customWidth="1"/>
    <col min="6" max="9" width="9.1328125" style="1"/>
    <col min="10" max="10" width="25.265625" style="1" bestFit="1" customWidth="1"/>
    <col min="11" max="11" width="1.86328125" style="1" customWidth="1"/>
    <col min="12" max="12" width="9" style="1" bestFit="1" customWidth="1"/>
    <col min="13" max="13" width="1.86328125" style="1" customWidth="1"/>
    <col min="14" max="14" width="12.265625" style="1" bestFit="1" customWidth="1"/>
    <col min="15" max="15" width="1.86328125" style="1" customWidth="1"/>
    <col min="16" max="16" width="14.86328125" style="1" bestFit="1" customWidth="1"/>
    <col min="17" max="17" width="1.86328125" style="1" customWidth="1"/>
    <col min="18" max="18" width="11.59765625" style="1" bestFit="1" customWidth="1"/>
    <col min="19" max="19" width="1.86328125" style="1" customWidth="1"/>
    <col min="20" max="20" width="7.265625" style="1" bestFit="1" customWidth="1"/>
    <col min="21" max="21" width="1.86328125" style="1" customWidth="1"/>
    <col min="22" max="22" width="15.265625" style="1" bestFit="1" customWidth="1"/>
    <col min="23" max="23" width="7.1328125" style="1" customWidth="1"/>
    <col min="24" max="24" width="12.59765625" style="1" bestFit="1" customWidth="1"/>
    <col min="25" max="25" width="1.86328125" style="1" customWidth="1"/>
    <col min="26" max="26" width="7.265625" style="1" bestFit="1" customWidth="1"/>
    <col min="27" max="27" width="1.86328125" style="1" customWidth="1"/>
    <col min="28" max="28" width="16.59765625" style="1" bestFit="1" customWidth="1"/>
    <col min="29" max="29" width="1.86328125" style="1" customWidth="1"/>
    <col min="30" max="30" width="14" style="1" bestFit="1" customWidth="1"/>
    <col min="31" max="16384" width="9.1328125" style="1"/>
  </cols>
  <sheetData>
    <row r="3" spans="4:30" x14ac:dyDescent="0.45">
      <c r="R3" s="2" t="s">
        <v>0</v>
      </c>
      <c r="S3" s="2"/>
      <c r="T3" s="2"/>
      <c r="U3" s="2"/>
      <c r="V3" s="2"/>
      <c r="X3" s="2" t="s">
        <v>1</v>
      </c>
      <c r="Y3" s="2"/>
      <c r="Z3" s="2"/>
      <c r="AA3" s="2"/>
      <c r="AB3" s="2"/>
      <c r="AC3" s="3"/>
      <c r="AD3" s="3"/>
    </row>
    <row r="4" spans="4:30" x14ac:dyDescent="0.45">
      <c r="D4" s="4" t="s">
        <v>2</v>
      </c>
      <c r="J4" s="4" t="s">
        <v>3</v>
      </c>
      <c r="L4" s="4" t="s">
        <v>4</v>
      </c>
      <c r="N4" s="4" t="s">
        <v>5</v>
      </c>
      <c r="P4" s="4" t="s">
        <v>6</v>
      </c>
      <c r="R4" s="4" t="s">
        <v>7</v>
      </c>
      <c r="T4" s="4" t="s">
        <v>8</v>
      </c>
      <c r="V4" s="4" t="s">
        <v>9</v>
      </c>
      <c r="X4" s="4" t="s">
        <v>7</v>
      </c>
      <c r="Z4" s="4" t="s">
        <v>8</v>
      </c>
      <c r="AB4" s="4" t="s">
        <v>9</v>
      </c>
    </row>
    <row r="5" spans="4:30" x14ac:dyDescent="0.45">
      <c r="D5" s="5">
        <v>1000000000</v>
      </c>
      <c r="R5" s="6">
        <v>50000000</v>
      </c>
      <c r="X5" s="6">
        <v>186253317.92762372</v>
      </c>
    </row>
    <row r="7" spans="4:30" x14ac:dyDescent="0.45">
      <c r="J7" s="1" t="s">
        <v>10</v>
      </c>
      <c r="L7" s="7">
        <v>0.3</v>
      </c>
      <c r="N7" s="5">
        <f>L7*D13</f>
        <v>45000000</v>
      </c>
      <c r="T7" s="8">
        <f>1-EXP(-$N$7/$R$5)</f>
        <v>0.59343034025940089</v>
      </c>
      <c r="Z7" s="8">
        <f>1-EXP(-N7/$X$5)</f>
        <v>0.21463479036719824</v>
      </c>
    </row>
    <row r="8" spans="4:30" x14ac:dyDescent="0.45">
      <c r="J8" s="1">
        <v>0.3</v>
      </c>
      <c r="T8" s="9"/>
      <c r="Z8" s="9"/>
    </row>
    <row r="9" spans="4:30" x14ac:dyDescent="0.45">
      <c r="T9" s="9"/>
      <c r="Z9" s="9"/>
    </row>
    <row r="10" spans="4:30" x14ac:dyDescent="0.45">
      <c r="T10" s="9"/>
      <c r="Z10" s="9"/>
    </row>
    <row r="11" spans="4:30" x14ac:dyDescent="0.45">
      <c r="D11" s="4" t="s">
        <v>11</v>
      </c>
      <c r="J11" s="1" t="s">
        <v>12</v>
      </c>
      <c r="L11" s="7">
        <v>0.1</v>
      </c>
      <c r="N11" s="5">
        <f>L11*D13</f>
        <v>15000000</v>
      </c>
      <c r="P11" s="10">
        <f>N7*J8+N11*J12+N15*J16</f>
        <v>15000000</v>
      </c>
      <c r="T11" s="8">
        <f>1-EXP(-N11/$R$5)</f>
        <v>0.25918177931828212</v>
      </c>
      <c r="V11" s="11">
        <f>T7*J8+T11*J12+T15*J16</f>
        <v>0.14319623165885953</v>
      </c>
      <c r="Z11" s="8">
        <f>1-EXP(-N11/$X$5)</f>
        <v>7.737782984377739E-2</v>
      </c>
      <c r="AB11" s="11">
        <f>Z7*J8+Z11*J12+Z15*J16</f>
        <v>6.812568745920683E-2</v>
      </c>
    </row>
    <row r="12" spans="4:30" x14ac:dyDescent="0.45">
      <c r="D12" s="7">
        <v>0.15</v>
      </c>
      <c r="J12" s="1">
        <v>0.5</v>
      </c>
      <c r="T12" s="9"/>
      <c r="V12" s="9"/>
      <c r="Z12" s="9"/>
    </row>
    <row r="13" spans="4:30" x14ac:dyDescent="0.45">
      <c r="D13" s="5">
        <f>D5*D12</f>
        <v>150000000</v>
      </c>
      <c r="T13" s="9"/>
      <c r="V13" s="9"/>
      <c r="Z13" s="9"/>
    </row>
    <row r="14" spans="4:30" x14ac:dyDescent="0.45">
      <c r="T14" s="9"/>
      <c r="V14" s="9"/>
      <c r="Z14" s="9"/>
    </row>
    <row r="15" spans="4:30" x14ac:dyDescent="0.45">
      <c r="J15" s="1" t="s">
        <v>13</v>
      </c>
      <c r="L15" s="7">
        <v>-0.2</v>
      </c>
      <c r="N15" s="5">
        <f>L15*D13</f>
        <v>-30000000</v>
      </c>
      <c r="T15" s="8">
        <f>1-EXP(-N15/$R$5)</f>
        <v>-0.82211880039050889</v>
      </c>
      <c r="V15" s="9"/>
      <c r="Z15" s="8">
        <f>1-EXP(-N15/$X$5)</f>
        <v>-0.17476832286420674</v>
      </c>
    </row>
    <row r="16" spans="4:30" x14ac:dyDescent="0.45">
      <c r="J16" s="1">
        <v>0.2</v>
      </c>
      <c r="T16" s="9"/>
      <c r="V16" s="9"/>
      <c r="Z16" s="9"/>
    </row>
    <row r="17" spans="4:28" x14ac:dyDescent="0.45">
      <c r="T17" s="9"/>
      <c r="V17" s="9"/>
      <c r="Z17" s="9"/>
    </row>
    <row r="18" spans="4:28" x14ac:dyDescent="0.45">
      <c r="T18" s="9"/>
      <c r="V18" s="9"/>
      <c r="Z18" s="9"/>
      <c r="AB18" s="4" t="s">
        <v>14</v>
      </c>
    </row>
    <row r="19" spans="4:28" x14ac:dyDescent="0.45">
      <c r="T19" s="9"/>
      <c r="V19" s="9"/>
      <c r="Z19" s="9"/>
      <c r="AB19" s="12">
        <f>$AB$11-$AB$26</f>
        <v>-3.1689368992630917E-4</v>
      </c>
    </row>
    <row r="20" spans="4:28" x14ac:dyDescent="0.45">
      <c r="T20" s="9"/>
      <c r="V20" s="9"/>
      <c r="Z20" s="9"/>
    </row>
    <row r="21" spans="4:28" x14ac:dyDescent="0.45">
      <c r="J21" s="1" t="s">
        <v>15</v>
      </c>
      <c r="T21" s="9"/>
      <c r="V21" s="9"/>
      <c r="Z21" s="9"/>
    </row>
    <row r="22" spans="4:28" x14ac:dyDescent="0.45">
      <c r="J22" s="1" t="s">
        <v>16</v>
      </c>
      <c r="L22" s="7">
        <v>0.2</v>
      </c>
      <c r="N22" s="5">
        <f>L22*D13</f>
        <v>30000000</v>
      </c>
      <c r="T22" s="8">
        <f>1-EXP(-N22/$R$5)</f>
        <v>0.45118836390597361</v>
      </c>
      <c r="V22" s="9"/>
      <c r="Z22" s="8">
        <f>1-EXP(-N22/$X$5)</f>
        <v>0.14876833113622223</v>
      </c>
    </row>
    <row r="23" spans="4:28" x14ac:dyDescent="0.45">
      <c r="D23" s="4" t="s">
        <v>17</v>
      </c>
      <c r="J23" s="1">
        <v>0.2</v>
      </c>
      <c r="T23" s="9"/>
      <c r="V23" s="9"/>
      <c r="Z23" s="9"/>
    </row>
    <row r="24" spans="4:28" x14ac:dyDescent="0.45">
      <c r="T24" s="9"/>
      <c r="V24" s="9"/>
      <c r="Z24" s="9"/>
    </row>
    <row r="25" spans="4:28" x14ac:dyDescent="0.45">
      <c r="J25" s="1" t="s">
        <v>18</v>
      </c>
      <c r="T25" s="9"/>
      <c r="V25" s="9"/>
      <c r="Z25" s="9"/>
    </row>
    <row r="26" spans="4:28" x14ac:dyDescent="0.45">
      <c r="J26" s="1" t="s">
        <v>16</v>
      </c>
      <c r="L26" s="7">
        <v>0.1</v>
      </c>
      <c r="N26" s="5">
        <f>L26*D13</f>
        <v>15000000</v>
      </c>
      <c r="P26" s="10">
        <f>N22*J23+N26*J27+N30*J31</f>
        <v>13500000</v>
      </c>
      <c r="T26" s="8">
        <f>1-EXP(-N26/$R$5)</f>
        <v>0.25918177931828212</v>
      </c>
      <c r="V26" s="11">
        <f>T22*J23+T26*J27+T30*J31</f>
        <v>0.21982856244033577</v>
      </c>
      <c r="Z26" s="8">
        <f>1-EXP(-N26/$X$5)</f>
        <v>7.737782984377739E-2</v>
      </c>
      <c r="AB26" s="11">
        <f>Z22*J23+Z26*J27+Z30*J31</f>
        <v>6.8442581149133139E-2</v>
      </c>
    </row>
    <row r="27" spans="4:28" x14ac:dyDescent="0.45">
      <c r="J27" s="1">
        <v>0.5</v>
      </c>
      <c r="T27" s="9"/>
      <c r="Z27" s="9"/>
    </row>
    <row r="28" spans="4:28" x14ac:dyDescent="0.45">
      <c r="T28" s="9"/>
      <c r="Z28" s="9"/>
    </row>
    <row r="29" spans="4:28" x14ac:dyDescent="0.45">
      <c r="J29" s="1" t="s">
        <v>19</v>
      </c>
      <c r="T29" s="9"/>
      <c r="Z29" s="9"/>
    </row>
    <row r="30" spans="4:28" x14ac:dyDescent="0.45">
      <c r="J30" s="1" t="s">
        <v>16</v>
      </c>
      <c r="L30" s="7">
        <v>0</v>
      </c>
      <c r="N30" s="13">
        <f>L30*D13</f>
        <v>0</v>
      </c>
      <c r="T30" s="8">
        <f>1-EXP(-N30/$R$5)</f>
        <v>0</v>
      </c>
      <c r="Z30" s="8">
        <f>1-EXP(-N30/$X$5)</f>
        <v>0</v>
      </c>
    </row>
    <row r="31" spans="4:28" x14ac:dyDescent="0.45">
      <c r="J31" s="1">
        <v>0.3</v>
      </c>
    </row>
  </sheetData>
  <mergeCells count="2">
    <mergeCell ref="R3:V3"/>
    <mergeCell ref="X3:A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</dc:creator>
  <cp:lastModifiedBy>Alan Franklin</cp:lastModifiedBy>
  <dcterms:created xsi:type="dcterms:W3CDTF">2015-06-05T18:17:20Z</dcterms:created>
  <dcterms:modified xsi:type="dcterms:W3CDTF">2026-10-18T00:54:27Z</dcterms:modified>
</cp:coreProperties>
</file>