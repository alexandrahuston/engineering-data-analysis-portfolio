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6dd3a8d7244e87/Alex's Stuff/School Info Current/MECH 408/"/>
    </mc:Choice>
  </mc:AlternateContent>
  <xr:revisionPtr revIDLastSave="4" documentId="11_F25DC773A252ABDACC1048B911DF76385BDE58EA" xr6:coauthVersionLast="47" xr6:coauthVersionMax="47" xr10:uidLastSave="{576018F1-E8A3-4817-BD2F-1775D2255CEF}"/>
  <bookViews>
    <workbookView xWindow="-98" yWindow="-98" windowWidth="21795" windowHeight="13875" activeTab="1" xr2:uid="{00000000-000D-0000-FFFF-FFFF00000000}"/>
  </bookViews>
  <sheets>
    <sheet name="Problem Statement" sheetId="1" r:id="rId1"/>
    <sheet name="Calculations - @RI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2" l="1"/>
  <c r="R25" i="2" s="1"/>
  <c r="I25" i="2"/>
  <c r="Q24" i="2"/>
  <c r="R24" i="2" s="1"/>
  <c r="I24" i="2"/>
  <c r="Q23" i="2"/>
  <c r="R23" i="2" s="1"/>
  <c r="I23" i="2"/>
  <c r="Q22" i="2"/>
  <c r="R22" i="2" s="1"/>
  <c r="I22" i="2"/>
  <c r="Q21" i="2"/>
  <c r="R21" i="2" s="1"/>
  <c r="I21" i="2"/>
  <c r="Q20" i="2"/>
  <c r="R20" i="2" s="1"/>
  <c r="I20" i="2"/>
  <c r="Q19" i="2"/>
  <c r="R19" i="2" s="1"/>
  <c r="I19" i="2"/>
  <c r="Q18" i="2"/>
  <c r="R18" i="2" s="1"/>
  <c r="I18" i="2"/>
  <c r="Q17" i="2"/>
  <c r="R17" i="2" s="1"/>
  <c r="I17" i="2"/>
  <c r="Q16" i="2"/>
  <c r="R16" i="2" s="1"/>
  <c r="I16" i="2"/>
  <c r="Q15" i="2"/>
  <c r="R15" i="2" s="1"/>
  <c r="I15" i="2"/>
  <c r="Q14" i="2"/>
  <c r="R14" i="2" s="1"/>
  <c r="I14" i="2"/>
  <c r="Q13" i="2"/>
  <c r="R13" i="2" s="1"/>
  <c r="I13" i="2"/>
  <c r="S12" i="2"/>
  <c r="T12" i="2" s="1"/>
  <c r="Q12" i="2"/>
  <c r="R12" i="2" s="1"/>
  <c r="I12" i="2"/>
  <c r="Q11" i="2"/>
  <c r="R11" i="2" s="1"/>
  <c r="I11" i="2"/>
  <c r="Q10" i="2"/>
  <c r="R10" i="2" s="1"/>
  <c r="I10" i="2"/>
  <c r="Q9" i="2"/>
  <c r="R9" i="2" s="1"/>
  <c r="I9" i="2"/>
  <c r="Q8" i="2"/>
  <c r="R8" i="2" s="1"/>
  <c r="I8" i="2"/>
  <c r="Q7" i="2"/>
  <c r="R7" i="2" s="1"/>
  <c r="I7" i="2"/>
  <c r="Q6" i="2"/>
  <c r="R6" i="2" s="1"/>
  <c r="I6" i="2"/>
  <c r="P5" i="2"/>
  <c r="W5" i="2" s="1"/>
  <c r="S25" i="2" l="1"/>
  <c r="T25" i="2" s="1"/>
  <c r="L25" i="2"/>
  <c r="M25" i="2" s="1"/>
  <c r="N25" i="2" s="1"/>
  <c r="U25" i="2" s="1"/>
  <c r="V25" i="2" s="1"/>
  <c r="J25" i="2"/>
  <c r="J24" i="2"/>
  <c r="L24" i="2"/>
  <c r="M24" i="2" s="1"/>
  <c r="N24" i="2" s="1"/>
  <c r="U24" i="2" s="1"/>
  <c r="V24" i="2" s="1"/>
  <c r="S24" i="2"/>
  <c r="T24" i="2" s="1"/>
  <c r="L23" i="2"/>
  <c r="M23" i="2" s="1"/>
  <c r="N23" i="2" s="1"/>
  <c r="U23" i="2" s="1"/>
  <c r="V23" i="2" s="1"/>
  <c r="J23" i="2"/>
  <c r="S23" i="2"/>
  <c r="T23" i="2" s="1"/>
  <c r="L22" i="2"/>
  <c r="M22" i="2" s="1"/>
  <c r="N22" i="2" s="1"/>
  <c r="U22" i="2" s="1"/>
  <c r="V22" i="2" s="1"/>
  <c r="J22" i="2"/>
  <c r="S22" i="2"/>
  <c r="T22" i="2" s="1"/>
  <c r="S21" i="2"/>
  <c r="T21" i="2" s="1"/>
  <c r="L21" i="2"/>
  <c r="M21" i="2" s="1"/>
  <c r="N21" i="2" s="1"/>
  <c r="U21" i="2" s="1"/>
  <c r="V21" i="2" s="1"/>
  <c r="J21" i="2"/>
  <c r="L20" i="2"/>
  <c r="M20" i="2" s="1"/>
  <c r="N20" i="2" s="1"/>
  <c r="U20" i="2" s="1"/>
  <c r="V20" i="2" s="1"/>
  <c r="J20" i="2"/>
  <c r="S20" i="2"/>
  <c r="T20" i="2" s="1"/>
  <c r="J19" i="2"/>
  <c r="L19" i="2"/>
  <c r="M19" i="2" s="1"/>
  <c r="N19" i="2" s="1"/>
  <c r="U19" i="2" s="1"/>
  <c r="V19" i="2" s="1"/>
  <c r="S19" i="2"/>
  <c r="T19" i="2" s="1"/>
  <c r="W19" i="2" s="1"/>
  <c r="L18" i="2"/>
  <c r="M18" i="2" s="1"/>
  <c r="N18" i="2" s="1"/>
  <c r="U18" i="2" s="1"/>
  <c r="V18" i="2" s="1"/>
  <c r="J18" i="2"/>
  <c r="S18" i="2"/>
  <c r="T18" i="2" s="1"/>
  <c r="W18" i="2" s="1"/>
  <c r="J17" i="2"/>
  <c r="S17" i="2"/>
  <c r="T17" i="2" s="1"/>
  <c r="L17" i="2"/>
  <c r="M17" i="2" s="1"/>
  <c r="N17" i="2" s="1"/>
  <c r="U17" i="2" s="1"/>
  <c r="V17" i="2" s="1"/>
  <c r="L16" i="2"/>
  <c r="M16" i="2" s="1"/>
  <c r="N16" i="2" s="1"/>
  <c r="U16" i="2" s="1"/>
  <c r="V16" i="2" s="1"/>
  <c r="J16" i="2"/>
  <c r="S16" i="2"/>
  <c r="T16" i="2" s="1"/>
  <c r="J15" i="2"/>
  <c r="S15" i="2"/>
  <c r="T15" i="2" s="1"/>
  <c r="L15" i="2"/>
  <c r="M15" i="2" s="1"/>
  <c r="N15" i="2" s="1"/>
  <c r="U15" i="2" s="1"/>
  <c r="V15" i="2" s="1"/>
  <c r="S14" i="2"/>
  <c r="T14" i="2" s="1"/>
  <c r="L14" i="2"/>
  <c r="M14" i="2" s="1"/>
  <c r="N14" i="2" s="1"/>
  <c r="U14" i="2" s="1"/>
  <c r="V14" i="2" s="1"/>
  <c r="J14" i="2"/>
  <c r="S13" i="2"/>
  <c r="T13" i="2" s="1"/>
  <c r="J13" i="2"/>
  <c r="L13" i="2"/>
  <c r="M13" i="2" s="1"/>
  <c r="N13" i="2" s="1"/>
  <c r="U13" i="2" s="1"/>
  <c r="V13" i="2" s="1"/>
  <c r="J12" i="2"/>
  <c r="L12" i="2"/>
  <c r="M12" i="2" s="1"/>
  <c r="N12" i="2" s="1"/>
  <c r="U12" i="2" s="1"/>
  <c r="V12" i="2" s="1"/>
  <c r="W12" i="2" s="1"/>
  <c r="S11" i="2"/>
  <c r="T11" i="2" s="1"/>
  <c r="J11" i="2"/>
  <c r="L11" i="2"/>
  <c r="M11" i="2" s="1"/>
  <c r="N11" i="2" s="1"/>
  <c r="U11" i="2" s="1"/>
  <c r="V11" i="2" s="1"/>
  <c r="L10" i="2"/>
  <c r="M10" i="2" s="1"/>
  <c r="N10" i="2" s="1"/>
  <c r="U10" i="2" s="1"/>
  <c r="V10" i="2" s="1"/>
  <c r="J10" i="2"/>
  <c r="S10" i="2"/>
  <c r="T10" i="2" s="1"/>
  <c r="W10" i="2" s="1"/>
  <c r="S9" i="2"/>
  <c r="T9" i="2" s="1"/>
  <c r="J9" i="2"/>
  <c r="L9" i="2"/>
  <c r="M9" i="2" s="1"/>
  <c r="N9" i="2" s="1"/>
  <c r="U9" i="2" s="1"/>
  <c r="V9" i="2" s="1"/>
  <c r="J8" i="2"/>
  <c r="S8" i="2"/>
  <c r="T8" i="2" s="1"/>
  <c r="L8" i="2"/>
  <c r="M8" i="2" s="1"/>
  <c r="N8" i="2" s="1"/>
  <c r="U8" i="2" s="1"/>
  <c r="V8" i="2" s="1"/>
  <c r="L7" i="2"/>
  <c r="M7" i="2" s="1"/>
  <c r="N7" i="2" s="1"/>
  <c r="U7" i="2" s="1"/>
  <c r="V7" i="2" s="1"/>
  <c r="J7" i="2"/>
  <c r="S7" i="2"/>
  <c r="T7" i="2" s="1"/>
  <c r="L6" i="2"/>
  <c r="M6" i="2" s="1"/>
  <c r="N6" i="2" s="1"/>
  <c r="U6" i="2" s="1"/>
  <c r="V6" i="2" s="1"/>
  <c r="S6" i="2"/>
  <c r="T6" i="2" s="1"/>
  <c r="J6" i="2"/>
  <c r="W11" i="2" l="1"/>
  <c r="W7" i="2"/>
  <c r="W24" i="2"/>
  <c r="W23" i="2"/>
  <c r="W25" i="2"/>
  <c r="W22" i="2"/>
  <c r="W21" i="2"/>
  <c r="W20" i="2"/>
  <c r="W17" i="2"/>
  <c r="W16" i="2"/>
  <c r="W15" i="2"/>
  <c r="W14" i="2"/>
  <c r="W13" i="2"/>
  <c r="W9" i="2"/>
  <c r="W8" i="2"/>
  <c r="W6" i="2"/>
  <c r="Y5" i="2" s="1"/>
</calcChain>
</file>

<file path=xl/sharedStrings.xml><?xml version="1.0" encoding="utf-8"?>
<sst xmlns="http://schemas.openxmlformats.org/spreadsheetml/2006/main" count="54" uniqueCount="54">
  <si>
    <t>Given</t>
  </si>
  <si>
    <t>Calculations</t>
  </si>
  <si>
    <t>Capital Expenditure (CAPEX)</t>
  </si>
  <si>
    <t>Annual Electricity Generation</t>
  </si>
  <si>
    <t>Annual Hydrogen Consumption</t>
  </si>
  <si>
    <t>Levelized Cost of Electricity</t>
  </si>
  <si>
    <t>Fixed Operating and Maintenance (O&amp;M) Costs</t>
  </si>
  <si>
    <t>per year</t>
  </si>
  <si>
    <t>Years</t>
  </si>
  <si>
    <t>Electricity Generation [MWh/year]</t>
  </si>
  <si>
    <t>PV_Electricity Generation [MWh]</t>
  </si>
  <si>
    <t>Energy Output [MJ]</t>
  </si>
  <si>
    <t>Efficiency [MJ]</t>
  </si>
  <si>
    <t>Mass [kg]</t>
  </si>
  <si>
    <t>CAPEX</t>
  </si>
  <si>
    <t>Fixed O&amp;M</t>
  </si>
  <si>
    <t>PV_Fixed O&amp;M</t>
  </si>
  <si>
    <t>Variable O&amp;M</t>
  </si>
  <si>
    <t>PV_Variable O&amp;M</t>
  </si>
  <si>
    <t>Fuel Cost</t>
  </si>
  <si>
    <t>PV_Fuel Cost</t>
  </si>
  <si>
    <t>PV_Total</t>
  </si>
  <si>
    <t>LCOE</t>
  </si>
  <si>
    <t>Variable O&amp;M Costs</t>
  </si>
  <si>
    <t>per MWh</t>
  </si>
  <si>
    <t>Fuel Cost (Hydrogen)</t>
  </si>
  <si>
    <t>per kg</t>
  </si>
  <si>
    <t>Heating Value (HV) of Hydrogen</t>
  </si>
  <si>
    <t>MJ/kg</t>
  </si>
  <si>
    <t>Combined Plant Efficiency</t>
  </si>
  <si>
    <t>Plant Capacity Factor</t>
  </si>
  <si>
    <t>Project Lifetime</t>
  </si>
  <si>
    <t>years</t>
  </si>
  <si>
    <t>Discount Rate</t>
  </si>
  <si>
    <t>Gas turbine capacity</t>
  </si>
  <si>
    <t>MW</t>
  </si>
  <si>
    <t>FuturePower Inc. is planning to build a 100 MW (net capacity) gas turbine power</t>
  </si>
  <si>
    <t>plant that will run exclusively on green hydrogen. They need to determine the levelized cost of</t>
  </si>
  <si>
    <t>electricity (LCOE) for this project to assess its economic viability.</t>
  </si>
  <si>
    <t>Here are the key parameters for your analysis:</t>
  </si>
  <si>
    <t>1. Capital Expenditure (CAPEX): 120 million</t>
  </si>
  <si>
    <t>2. Fixed Operating and Maintenance (O&amp;M) Costs: $3.5 million per year</t>
  </si>
  <si>
    <t>3. Variable O&amp;M Costs: $1.50 per MWh of electricity produced</t>
  </si>
  <si>
    <t>4. Fuel Cost (Hydrogen): $7.50 per kg</t>
  </si>
  <si>
    <t>5. Heating Value (HV) of Hydrogen: 130 MJ/kg</t>
  </si>
  <si>
    <t>6. Combined Plant Efficiency: 60%</t>
  </si>
  <si>
    <t>7. Plant Capacity Factor: 80%</t>
  </si>
  <si>
    <t>8. Project Lifetime: 20 years</t>
  </si>
  <si>
    <t>9. Discount Rate: 15%</t>
  </si>
  <si>
    <t>1. Calculate the annual electricity generation (in MWh) of the power plant and annual fuel</t>
  </si>
  <si>
    <t>consumption of hydrogen (in kg).</t>
  </si>
  <si>
    <t>2. Calculate the levelized cost of electricity (LCOE) in $/MWh.</t>
  </si>
  <si>
    <t>3. Perform a stochastic analysis to identify the most important variables that significantly</t>
  </si>
  <si>
    <t>influence the LCOE of this hydrogen-fueled power plant.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</si>
</sst>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sqref="A1:A18"/>
    </sheetView>
  </sheetViews>
  <sheetFormatPr defaultRowHeight="14.25" x14ac:dyDescent="0.45"/>
  <sheetData>
    <row r="1" spans="1:1" ht="15.75" x14ac:dyDescent="0.45">
      <c r="A1" s="19" t="s">
        <v>36</v>
      </c>
    </row>
    <row r="2" spans="1:1" ht="15.75" x14ac:dyDescent="0.45">
      <c r="A2" s="19" t="s">
        <v>37</v>
      </c>
    </row>
    <row r="3" spans="1:1" ht="15.75" x14ac:dyDescent="0.45">
      <c r="A3" s="19" t="s">
        <v>38</v>
      </c>
    </row>
    <row r="4" spans="1:1" ht="15.75" x14ac:dyDescent="0.45">
      <c r="A4" s="19" t="s">
        <v>39</v>
      </c>
    </row>
    <row r="5" spans="1:1" ht="15.75" x14ac:dyDescent="0.45">
      <c r="A5" s="19" t="s">
        <v>40</v>
      </c>
    </row>
    <row r="6" spans="1:1" ht="15.75" x14ac:dyDescent="0.45">
      <c r="A6" s="19" t="s">
        <v>41</v>
      </c>
    </row>
    <row r="7" spans="1:1" ht="15.75" x14ac:dyDescent="0.45">
      <c r="A7" s="19" t="s">
        <v>42</v>
      </c>
    </row>
    <row r="8" spans="1:1" ht="15.75" x14ac:dyDescent="0.45">
      <c r="A8" s="19" t="s">
        <v>43</v>
      </c>
    </row>
    <row r="9" spans="1:1" ht="15.75" x14ac:dyDescent="0.45">
      <c r="A9" s="19" t="s">
        <v>44</v>
      </c>
    </row>
    <row r="10" spans="1:1" ht="15.75" x14ac:dyDescent="0.45">
      <c r="A10" s="19" t="s">
        <v>45</v>
      </c>
    </row>
    <row r="11" spans="1:1" ht="15.75" x14ac:dyDescent="0.45">
      <c r="A11" s="19" t="s">
        <v>46</v>
      </c>
    </row>
    <row r="12" spans="1:1" ht="15.75" x14ac:dyDescent="0.45">
      <c r="A12" s="19" t="s">
        <v>47</v>
      </c>
    </row>
    <row r="13" spans="1:1" ht="15.75" x14ac:dyDescent="0.45">
      <c r="A13" s="19" t="s">
        <v>48</v>
      </c>
    </row>
    <row r="14" spans="1:1" ht="15.75" x14ac:dyDescent="0.45">
      <c r="A14" s="19" t="s">
        <v>49</v>
      </c>
    </row>
    <row r="15" spans="1:1" ht="15.75" x14ac:dyDescent="0.45">
      <c r="A15" s="19" t="s">
        <v>50</v>
      </c>
    </row>
    <row r="16" spans="1:1" ht="15.75" x14ac:dyDescent="0.45">
      <c r="A16" s="19" t="s">
        <v>51</v>
      </c>
    </row>
    <row r="17" spans="1:1" ht="15.75" x14ac:dyDescent="0.45">
      <c r="A17" s="19" t="s">
        <v>52</v>
      </c>
    </row>
    <row r="18" spans="1:1" ht="15.75" x14ac:dyDescent="0.45">
      <c r="A18" s="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FA17-DBCF-4B7B-89D6-34C945B627A7}">
  <dimension ref="A2:AD25"/>
  <sheetViews>
    <sheetView tabSelected="1" zoomScaleNormal="100" workbookViewId="0">
      <selection activeCell="I34" sqref="I34"/>
    </sheetView>
  </sheetViews>
  <sheetFormatPr defaultRowHeight="14.25" x14ac:dyDescent="0.45"/>
  <cols>
    <col min="1" max="1" width="1.3984375" customWidth="1"/>
    <col min="2" max="2" width="29.59765625" customWidth="1"/>
    <col min="3" max="3" width="13.3984375" style="2" bestFit="1" customWidth="1"/>
    <col min="6" max="6" width="1.3984375" style="4" customWidth="1"/>
    <col min="7" max="7" width="5.73046875" style="4" bestFit="1" customWidth="1"/>
    <col min="8" max="8" width="1.3984375" style="4" customWidth="1"/>
    <col min="9" max="10" width="15.73046875" style="4" customWidth="1"/>
    <col min="11" max="11" width="1.3984375" style="4" customWidth="1"/>
    <col min="12" max="12" width="18.265625" style="4" bestFit="1" customWidth="1"/>
    <col min="13" max="14" width="14.265625" style="4" bestFit="1" customWidth="1"/>
    <col min="15" max="15" width="1.3984375" style="4" customWidth="1"/>
    <col min="16" max="16" width="13.3984375" style="4" bestFit="1" customWidth="1"/>
    <col min="17" max="17" width="11.265625" style="4" bestFit="1" customWidth="1"/>
    <col min="18" max="18" width="14.3984375" style="4" bestFit="1" customWidth="1"/>
    <col min="19" max="19" width="13.59765625" style="4" bestFit="1" customWidth="1"/>
    <col min="20" max="20" width="17" style="4" bestFit="1" customWidth="1"/>
    <col min="21" max="22" width="15.59765625" style="4" bestFit="1" customWidth="1"/>
    <col min="23" max="23" width="16.265625" style="4" bestFit="1" customWidth="1"/>
    <col min="24" max="24" width="1.3984375" style="4" customWidth="1"/>
    <col min="25" max="25" width="8.265625" style="4" bestFit="1" customWidth="1"/>
    <col min="26" max="26" width="1.3984375" style="4" customWidth="1"/>
    <col min="27" max="30" width="9.06640625" style="4"/>
  </cols>
  <sheetData>
    <row r="2" spans="1:26" x14ac:dyDescent="0.45">
      <c r="A2" s="1" t="s">
        <v>0</v>
      </c>
      <c r="F2" s="3" t="s">
        <v>1</v>
      </c>
    </row>
    <row r="3" spans="1:26" x14ac:dyDescent="0.45">
      <c r="A3" s="1"/>
      <c r="B3" t="s">
        <v>2</v>
      </c>
      <c r="C3" s="5">
        <v>120000000</v>
      </c>
      <c r="F3" s="6"/>
      <c r="G3" s="6"/>
      <c r="H3" s="6"/>
      <c r="I3" s="7" t="s">
        <v>3</v>
      </c>
      <c r="J3" s="7"/>
      <c r="K3" s="6"/>
      <c r="L3" s="7" t="s">
        <v>4</v>
      </c>
      <c r="M3" s="7"/>
      <c r="N3" s="7"/>
      <c r="O3" s="6"/>
      <c r="P3" s="7" t="s">
        <v>5</v>
      </c>
      <c r="Q3" s="7"/>
      <c r="R3" s="7"/>
      <c r="S3" s="7"/>
      <c r="T3" s="7"/>
      <c r="U3" s="7"/>
      <c r="V3" s="7"/>
      <c r="W3" s="7"/>
      <c r="X3" s="7"/>
      <c r="Y3" s="7"/>
    </row>
    <row r="4" spans="1:26" ht="42.75" x14ac:dyDescent="0.45">
      <c r="B4" s="8" t="s">
        <v>6</v>
      </c>
      <c r="C4" s="5">
        <v>3500000</v>
      </c>
      <c r="D4" t="s">
        <v>7</v>
      </c>
      <c r="G4" s="6" t="s">
        <v>8</v>
      </c>
      <c r="H4" s="6"/>
      <c r="I4" s="9" t="s">
        <v>9</v>
      </c>
      <c r="J4" s="9" t="s">
        <v>10</v>
      </c>
      <c r="K4" s="6"/>
      <c r="L4" s="6" t="s">
        <v>11</v>
      </c>
      <c r="M4" s="6" t="s">
        <v>12</v>
      </c>
      <c r="N4" s="6" t="s">
        <v>13</v>
      </c>
      <c r="O4" s="6"/>
      <c r="P4" s="6" t="s">
        <v>14</v>
      </c>
      <c r="Q4" s="6" t="s">
        <v>15</v>
      </c>
      <c r="R4" s="6" t="s">
        <v>16</v>
      </c>
      <c r="S4" s="6" t="s">
        <v>17</v>
      </c>
      <c r="T4" s="6" t="s">
        <v>18</v>
      </c>
      <c r="U4" s="6" t="s">
        <v>19</v>
      </c>
      <c r="V4" s="6" t="s">
        <v>20</v>
      </c>
      <c r="W4" s="6" t="s">
        <v>21</v>
      </c>
      <c r="Y4" s="6" t="s">
        <v>22</v>
      </c>
    </row>
    <row r="5" spans="1:26" x14ac:dyDescent="0.45">
      <c r="B5" t="s">
        <v>23</v>
      </c>
      <c r="C5" s="10">
        <v>1.5</v>
      </c>
      <c r="D5" t="s">
        <v>24</v>
      </c>
      <c r="G5" s="4">
        <v>0</v>
      </c>
      <c r="P5" s="11">
        <f>C3</f>
        <v>120000000</v>
      </c>
      <c r="Q5" s="11"/>
      <c r="W5" s="12">
        <f>SUM(P5,R5,T5,V5)</f>
        <v>120000000</v>
      </c>
      <c r="Y5" s="12">
        <f>SUM(W5:W25)/SUM(J5:J25)</f>
        <v>380.00455455665622</v>
      </c>
    </row>
    <row r="6" spans="1:26" x14ac:dyDescent="0.45">
      <c r="B6" t="s">
        <v>25</v>
      </c>
      <c r="C6" s="10">
        <v>7.5</v>
      </c>
      <c r="D6" t="s">
        <v>26</v>
      </c>
      <c r="G6" s="4">
        <v>1</v>
      </c>
      <c r="I6" s="13">
        <f t="shared" ref="I6:I25" si="0">$C$12*$C$9*8760</f>
        <v>700800</v>
      </c>
      <c r="J6" s="13">
        <f t="shared" ref="J6:J25" si="1">I6/(1+$C$11)^G6</f>
        <v>609391.30434782617</v>
      </c>
      <c r="K6" s="13"/>
      <c r="L6" s="13">
        <f>I6*(3.6*10^3)</f>
        <v>2522880000</v>
      </c>
      <c r="M6" s="14">
        <f t="shared" ref="M6:M25" si="2">L6/$C$8</f>
        <v>4204800000</v>
      </c>
      <c r="N6" s="15">
        <f t="shared" ref="N6:N25" si="3">M6/$C$7</f>
        <v>32344615.384615384</v>
      </c>
      <c r="O6" s="13"/>
      <c r="Q6" s="11">
        <f t="shared" ref="Q6:Q25" si="4">$C$4</f>
        <v>3500000</v>
      </c>
      <c r="R6" s="12">
        <f t="shared" ref="R6:R25" si="5">Q6/(1+$C$11)^G6</f>
        <v>3043478.2608695654</v>
      </c>
      <c r="S6" s="11">
        <f t="shared" ref="S6:S25" si="6">I6*$C$5</f>
        <v>1051200</v>
      </c>
      <c r="T6" s="16">
        <f t="shared" ref="T6:T25" si="7">S6/(1+$C$11)^G6</f>
        <v>914086.95652173925</v>
      </c>
      <c r="U6" s="16">
        <f t="shared" ref="U6:U25" si="8">N6*$C$6</f>
        <v>242584615.38461539</v>
      </c>
      <c r="V6" s="17">
        <f t="shared" ref="V6:V25" si="9">U6/(1+$C$11)^G6</f>
        <v>210943143.81270906</v>
      </c>
      <c r="W6" s="12">
        <f t="shared" ref="W6:W25" si="10">SUM(P6,R6,T6,V6)</f>
        <v>214900709.03010038</v>
      </c>
      <c r="X6" s="13"/>
      <c r="Z6" s="13"/>
    </row>
    <row r="7" spans="1:26" x14ac:dyDescent="0.45">
      <c r="B7" t="s">
        <v>27</v>
      </c>
      <c r="C7" s="2">
        <v>130</v>
      </c>
      <c r="D7" t="s">
        <v>28</v>
      </c>
      <c r="G7" s="4">
        <v>2</v>
      </c>
      <c r="I7" s="13">
        <f t="shared" si="0"/>
        <v>700800</v>
      </c>
      <c r="J7" s="13">
        <f t="shared" si="1"/>
        <v>529905.48204158794</v>
      </c>
      <c r="K7" s="13"/>
      <c r="L7" s="13">
        <f t="shared" ref="L7:L25" si="11">I7*(3.6*10^3)</f>
        <v>2522880000</v>
      </c>
      <c r="M7" s="14">
        <f t="shared" si="2"/>
        <v>4204800000</v>
      </c>
      <c r="N7" s="15">
        <f t="shared" si="3"/>
        <v>32344615.384615384</v>
      </c>
      <c r="O7" s="13"/>
      <c r="Q7" s="11">
        <f t="shared" si="4"/>
        <v>3500000</v>
      </c>
      <c r="R7" s="12">
        <f t="shared" si="5"/>
        <v>2646502.8355387528</v>
      </c>
      <c r="S7" s="11">
        <f t="shared" si="6"/>
        <v>1051200</v>
      </c>
      <c r="T7" s="16">
        <f t="shared" si="7"/>
        <v>794858.22306238196</v>
      </c>
      <c r="U7" s="16">
        <f t="shared" si="8"/>
        <v>242584615.38461539</v>
      </c>
      <c r="V7" s="17">
        <f t="shared" si="9"/>
        <v>183428820.70670354</v>
      </c>
      <c r="W7" s="12">
        <f t="shared" si="10"/>
        <v>186870181.76530468</v>
      </c>
      <c r="X7" s="13"/>
      <c r="Z7" s="13"/>
    </row>
    <row r="8" spans="1:26" x14ac:dyDescent="0.45">
      <c r="B8" t="s">
        <v>29</v>
      </c>
      <c r="C8" s="18">
        <v>0.6</v>
      </c>
      <c r="G8" s="4">
        <v>3</v>
      </c>
      <c r="I8" s="13">
        <f t="shared" si="0"/>
        <v>700800</v>
      </c>
      <c r="J8" s="13">
        <f t="shared" si="1"/>
        <v>460787.37568833743</v>
      </c>
      <c r="K8" s="13"/>
      <c r="L8" s="13">
        <f t="shared" si="11"/>
        <v>2522880000</v>
      </c>
      <c r="M8" s="14">
        <f t="shared" si="2"/>
        <v>4204800000</v>
      </c>
      <c r="N8" s="15">
        <f t="shared" si="3"/>
        <v>32344615.384615384</v>
      </c>
      <c r="O8" s="13"/>
      <c r="Q8" s="11">
        <f t="shared" si="4"/>
        <v>3500000</v>
      </c>
      <c r="R8" s="12">
        <f t="shared" si="5"/>
        <v>2301306.8135119593</v>
      </c>
      <c r="S8" s="11">
        <f t="shared" si="6"/>
        <v>1051200</v>
      </c>
      <c r="T8" s="16">
        <f t="shared" si="7"/>
        <v>691181.06353250612</v>
      </c>
      <c r="U8" s="16">
        <f t="shared" si="8"/>
        <v>242584615.38461539</v>
      </c>
      <c r="V8" s="17">
        <f t="shared" si="9"/>
        <v>159503322.35365528</v>
      </c>
      <c r="W8" s="12">
        <f t="shared" si="10"/>
        <v>162495810.23069975</v>
      </c>
      <c r="X8" s="13"/>
      <c r="Z8" s="13"/>
    </row>
    <row r="9" spans="1:26" x14ac:dyDescent="0.45">
      <c r="B9" t="s">
        <v>30</v>
      </c>
      <c r="C9" s="18">
        <v>0.8</v>
      </c>
      <c r="G9" s="4">
        <v>4</v>
      </c>
      <c r="I9" s="13">
        <f t="shared" si="0"/>
        <v>700800</v>
      </c>
      <c r="J9" s="13">
        <f t="shared" si="1"/>
        <v>400684.67451159778</v>
      </c>
      <c r="K9" s="13"/>
      <c r="L9" s="13">
        <f t="shared" si="11"/>
        <v>2522880000</v>
      </c>
      <c r="M9" s="14">
        <f t="shared" si="2"/>
        <v>4204800000</v>
      </c>
      <c r="N9" s="15">
        <f t="shared" si="3"/>
        <v>32344615.384615384</v>
      </c>
      <c r="O9" s="13"/>
      <c r="Q9" s="11">
        <f t="shared" si="4"/>
        <v>3500000</v>
      </c>
      <c r="R9" s="12">
        <f t="shared" si="5"/>
        <v>2001136.3595756169</v>
      </c>
      <c r="S9" s="11">
        <f t="shared" si="6"/>
        <v>1051200</v>
      </c>
      <c r="T9" s="16">
        <f t="shared" si="7"/>
        <v>601027.0117673967</v>
      </c>
      <c r="U9" s="16">
        <f t="shared" si="8"/>
        <v>242584615.38461539</v>
      </c>
      <c r="V9" s="17">
        <f t="shared" si="9"/>
        <v>138698541.17709154</v>
      </c>
      <c r="W9" s="12">
        <f t="shared" si="10"/>
        <v>141300704.54843456</v>
      </c>
      <c r="X9" s="13"/>
      <c r="Z9" s="13"/>
    </row>
    <row r="10" spans="1:26" x14ac:dyDescent="0.45">
      <c r="B10" t="s">
        <v>31</v>
      </c>
      <c r="C10" s="2">
        <v>20</v>
      </c>
      <c r="D10" t="s">
        <v>32</v>
      </c>
      <c r="G10" s="4">
        <v>5</v>
      </c>
      <c r="I10" s="13">
        <f t="shared" si="0"/>
        <v>700800</v>
      </c>
      <c r="J10" s="13">
        <f t="shared" si="1"/>
        <v>348421.45609704155</v>
      </c>
      <c r="K10" s="13"/>
      <c r="L10" s="13">
        <f t="shared" si="11"/>
        <v>2522880000</v>
      </c>
      <c r="M10" s="14">
        <f t="shared" si="2"/>
        <v>4204800000</v>
      </c>
      <c r="N10" s="15">
        <f t="shared" si="3"/>
        <v>32344615.384615384</v>
      </c>
      <c r="O10" s="13"/>
      <c r="Q10" s="11">
        <f t="shared" si="4"/>
        <v>3500000</v>
      </c>
      <c r="R10" s="12">
        <f t="shared" si="5"/>
        <v>1740118.5735440147</v>
      </c>
      <c r="S10" s="11">
        <f t="shared" si="6"/>
        <v>1051200</v>
      </c>
      <c r="T10" s="16">
        <f t="shared" si="7"/>
        <v>522632.18414556235</v>
      </c>
      <c r="U10" s="16">
        <f t="shared" si="8"/>
        <v>242584615.38461539</v>
      </c>
      <c r="V10" s="17">
        <f t="shared" si="9"/>
        <v>120607427.11051439</v>
      </c>
      <c r="W10" s="12">
        <f t="shared" si="10"/>
        <v>122870177.86820397</v>
      </c>
      <c r="X10" s="13"/>
      <c r="Z10" s="13"/>
    </row>
    <row r="11" spans="1:26" x14ac:dyDescent="0.45">
      <c r="B11" t="s">
        <v>33</v>
      </c>
      <c r="C11" s="18">
        <v>0.15</v>
      </c>
      <c r="G11" s="4">
        <v>6</v>
      </c>
      <c r="I11" s="13">
        <f t="shared" si="0"/>
        <v>700800</v>
      </c>
      <c r="J11" s="13">
        <f t="shared" si="1"/>
        <v>302975.17921481875</v>
      </c>
      <c r="K11" s="13"/>
      <c r="L11" s="13">
        <f t="shared" si="11"/>
        <v>2522880000</v>
      </c>
      <c r="M11" s="14">
        <f t="shared" si="2"/>
        <v>4204800000</v>
      </c>
      <c r="N11" s="15">
        <f t="shared" si="3"/>
        <v>32344615.384615384</v>
      </c>
      <c r="O11" s="13"/>
      <c r="Q11" s="11">
        <f t="shared" si="4"/>
        <v>3500000</v>
      </c>
      <c r="R11" s="12">
        <f t="shared" si="5"/>
        <v>1513146.5856904476</v>
      </c>
      <c r="S11" s="11">
        <f t="shared" si="6"/>
        <v>1051200</v>
      </c>
      <c r="T11" s="16">
        <f t="shared" si="7"/>
        <v>454462.76882222813</v>
      </c>
      <c r="U11" s="16">
        <f t="shared" si="8"/>
        <v>242584615.38461539</v>
      </c>
      <c r="V11" s="17">
        <f t="shared" si="9"/>
        <v>104876023.57436034</v>
      </c>
      <c r="W11" s="12">
        <f t="shared" si="10"/>
        <v>106843632.92887302</v>
      </c>
      <c r="X11" s="13"/>
      <c r="Z11" s="13"/>
    </row>
    <row r="12" spans="1:26" x14ac:dyDescent="0.45">
      <c r="B12" t="s">
        <v>34</v>
      </c>
      <c r="C12" s="2">
        <v>100</v>
      </c>
      <c r="D12" t="s">
        <v>35</v>
      </c>
      <c r="G12" s="4">
        <v>7</v>
      </c>
      <c r="I12" s="13">
        <f t="shared" si="0"/>
        <v>700800</v>
      </c>
      <c r="J12" s="13">
        <f t="shared" si="1"/>
        <v>263456.67757810332</v>
      </c>
      <c r="K12" s="13"/>
      <c r="L12" s="13">
        <f t="shared" si="11"/>
        <v>2522880000</v>
      </c>
      <c r="M12" s="14">
        <f t="shared" si="2"/>
        <v>4204800000</v>
      </c>
      <c r="N12" s="15">
        <f t="shared" si="3"/>
        <v>32344615.384615384</v>
      </c>
      <c r="O12" s="13"/>
      <c r="Q12" s="11">
        <f t="shared" si="4"/>
        <v>3500000</v>
      </c>
      <c r="R12" s="12">
        <f t="shared" si="5"/>
        <v>1315779.6397308244</v>
      </c>
      <c r="S12" s="11">
        <f t="shared" si="6"/>
        <v>1051200</v>
      </c>
      <c r="T12" s="16">
        <f t="shared" si="7"/>
        <v>395185.01636715501</v>
      </c>
      <c r="U12" s="16">
        <f t="shared" si="8"/>
        <v>242584615.38461539</v>
      </c>
      <c r="V12" s="17">
        <f t="shared" si="9"/>
        <v>91196542.238574237</v>
      </c>
      <c r="W12" s="12">
        <f t="shared" si="10"/>
        <v>92907506.894672215</v>
      </c>
      <c r="X12" s="13"/>
      <c r="Z12" s="13"/>
    </row>
    <row r="13" spans="1:26" x14ac:dyDescent="0.45">
      <c r="G13" s="4">
        <v>8</v>
      </c>
      <c r="I13" s="13">
        <f t="shared" si="0"/>
        <v>700800</v>
      </c>
      <c r="J13" s="13">
        <f t="shared" si="1"/>
        <v>229092.76311139422</v>
      </c>
      <c r="K13" s="13"/>
      <c r="L13" s="13">
        <f t="shared" si="11"/>
        <v>2522880000</v>
      </c>
      <c r="M13" s="14">
        <f t="shared" si="2"/>
        <v>4204800000</v>
      </c>
      <c r="N13" s="15">
        <f t="shared" si="3"/>
        <v>32344615.384615384</v>
      </c>
      <c r="O13" s="13"/>
      <c r="Q13" s="11">
        <f t="shared" si="4"/>
        <v>3500000</v>
      </c>
      <c r="R13" s="12">
        <f t="shared" si="5"/>
        <v>1144156.2084615864</v>
      </c>
      <c r="S13" s="11">
        <f t="shared" si="6"/>
        <v>1051200</v>
      </c>
      <c r="T13" s="16">
        <f t="shared" si="7"/>
        <v>343639.14466709131</v>
      </c>
      <c r="U13" s="16">
        <f t="shared" si="8"/>
        <v>242584615.38461539</v>
      </c>
      <c r="V13" s="17">
        <f t="shared" si="9"/>
        <v>79301341.077021077</v>
      </c>
      <c r="W13" s="12">
        <f t="shared" si="10"/>
        <v>80789136.430149749</v>
      </c>
      <c r="X13" s="13"/>
      <c r="Z13" s="13"/>
    </row>
    <row r="14" spans="1:26" x14ac:dyDescent="0.45">
      <c r="G14" s="4">
        <v>9</v>
      </c>
      <c r="I14" s="13">
        <f t="shared" si="0"/>
        <v>700800</v>
      </c>
      <c r="J14" s="13">
        <f t="shared" si="1"/>
        <v>199211.09835773412</v>
      </c>
      <c r="K14" s="13"/>
      <c r="L14" s="13">
        <f t="shared" si="11"/>
        <v>2522880000</v>
      </c>
      <c r="M14" s="14">
        <f t="shared" si="2"/>
        <v>4204800000</v>
      </c>
      <c r="N14" s="15">
        <f t="shared" si="3"/>
        <v>32344615.384615384</v>
      </c>
      <c r="O14" s="13"/>
      <c r="Q14" s="11">
        <f t="shared" si="4"/>
        <v>3500000</v>
      </c>
      <c r="R14" s="12">
        <f t="shared" si="5"/>
        <v>994918.44214051007</v>
      </c>
      <c r="S14" s="11">
        <f t="shared" si="6"/>
        <v>1051200</v>
      </c>
      <c r="T14" s="16">
        <f t="shared" si="7"/>
        <v>298816.64753660117</v>
      </c>
      <c r="U14" s="16">
        <f t="shared" si="8"/>
        <v>242584615.38461539</v>
      </c>
      <c r="V14" s="17">
        <f t="shared" si="9"/>
        <v>68957687.893061817</v>
      </c>
      <c r="W14" s="12">
        <f t="shared" si="10"/>
        <v>70251422.982738927</v>
      </c>
      <c r="X14" s="13"/>
      <c r="Z14" s="13"/>
    </row>
    <row r="15" spans="1:26" x14ac:dyDescent="0.45">
      <c r="G15" s="4">
        <v>10</v>
      </c>
      <c r="I15" s="13">
        <f t="shared" si="0"/>
        <v>700800</v>
      </c>
      <c r="J15" s="13">
        <f t="shared" si="1"/>
        <v>173227.0420502036</v>
      </c>
      <c r="K15" s="13"/>
      <c r="L15" s="13">
        <f t="shared" si="11"/>
        <v>2522880000</v>
      </c>
      <c r="M15" s="14">
        <f t="shared" si="2"/>
        <v>4204800000</v>
      </c>
      <c r="N15" s="15">
        <f t="shared" si="3"/>
        <v>32344615.384615384</v>
      </c>
      <c r="O15" s="13"/>
      <c r="Q15" s="11">
        <f t="shared" si="4"/>
        <v>3500000</v>
      </c>
      <c r="R15" s="12">
        <f t="shared" si="5"/>
        <v>865146.47142653051</v>
      </c>
      <c r="S15" s="11">
        <f t="shared" si="6"/>
        <v>1051200</v>
      </c>
      <c r="T15" s="16">
        <f t="shared" si="7"/>
        <v>259840.5630753054</v>
      </c>
      <c r="U15" s="16">
        <f t="shared" si="8"/>
        <v>242584615.38461539</v>
      </c>
      <c r="V15" s="17">
        <f t="shared" si="9"/>
        <v>59963206.863532014</v>
      </c>
      <c r="W15" s="12">
        <f t="shared" si="10"/>
        <v>61088193.89803385</v>
      </c>
      <c r="X15" s="13"/>
      <c r="Z15" s="13"/>
    </row>
    <row r="16" spans="1:26" x14ac:dyDescent="0.45">
      <c r="G16" s="4">
        <v>11</v>
      </c>
      <c r="I16" s="13">
        <f t="shared" si="0"/>
        <v>700800</v>
      </c>
      <c r="J16" s="13">
        <f t="shared" si="1"/>
        <v>150632.21047843792</v>
      </c>
      <c r="K16" s="13"/>
      <c r="L16" s="13">
        <f t="shared" si="11"/>
        <v>2522880000</v>
      </c>
      <c r="M16" s="14">
        <f t="shared" si="2"/>
        <v>4204800000</v>
      </c>
      <c r="N16" s="15">
        <f t="shared" si="3"/>
        <v>32344615.384615384</v>
      </c>
      <c r="O16" s="13"/>
      <c r="Q16" s="11">
        <f t="shared" si="4"/>
        <v>3500000</v>
      </c>
      <c r="R16" s="12">
        <f t="shared" si="5"/>
        <v>752301.27950133092</v>
      </c>
      <c r="S16" s="11">
        <f t="shared" si="6"/>
        <v>1051200</v>
      </c>
      <c r="T16" s="16">
        <f t="shared" si="7"/>
        <v>225948.31571765689</v>
      </c>
      <c r="U16" s="16">
        <f t="shared" si="8"/>
        <v>242584615.38461539</v>
      </c>
      <c r="V16" s="17">
        <f t="shared" si="9"/>
        <v>52141919.011766978</v>
      </c>
      <c r="W16" s="12">
        <f t="shared" si="10"/>
        <v>53120168.606985964</v>
      </c>
      <c r="X16" s="13"/>
      <c r="Z16" s="13"/>
    </row>
    <row r="17" spans="7:26" x14ac:dyDescent="0.45">
      <c r="G17" s="4">
        <v>12</v>
      </c>
      <c r="I17" s="13">
        <f t="shared" si="0"/>
        <v>700800</v>
      </c>
      <c r="J17" s="13">
        <f t="shared" si="1"/>
        <v>130984.5308508156</v>
      </c>
      <c r="K17" s="13"/>
      <c r="L17" s="13">
        <f t="shared" si="11"/>
        <v>2522880000</v>
      </c>
      <c r="M17" s="14">
        <f t="shared" si="2"/>
        <v>4204800000</v>
      </c>
      <c r="N17" s="15">
        <f t="shared" si="3"/>
        <v>32344615.384615384</v>
      </c>
      <c r="O17" s="13"/>
      <c r="Q17" s="11">
        <f t="shared" si="4"/>
        <v>3500000</v>
      </c>
      <c r="R17" s="12">
        <f t="shared" si="5"/>
        <v>654175.02565333142</v>
      </c>
      <c r="S17" s="11">
        <f t="shared" si="6"/>
        <v>1051200</v>
      </c>
      <c r="T17" s="16">
        <f t="shared" si="7"/>
        <v>196476.79627622341</v>
      </c>
      <c r="U17" s="16">
        <f t="shared" si="8"/>
        <v>242584615.38461539</v>
      </c>
      <c r="V17" s="17">
        <f t="shared" si="9"/>
        <v>45340799.140666939</v>
      </c>
      <c r="W17" s="12">
        <f t="shared" si="10"/>
        <v>46191450.962596491</v>
      </c>
      <c r="X17" s="13"/>
      <c r="Z17" s="13"/>
    </row>
    <row r="18" spans="7:26" x14ac:dyDescent="0.45">
      <c r="G18" s="4">
        <v>13</v>
      </c>
      <c r="I18" s="13">
        <f t="shared" si="0"/>
        <v>700800</v>
      </c>
      <c r="J18" s="13">
        <f t="shared" si="1"/>
        <v>113899.59204418748</v>
      </c>
      <c r="K18" s="13"/>
      <c r="L18" s="13">
        <f t="shared" si="11"/>
        <v>2522880000</v>
      </c>
      <c r="M18" s="14">
        <f t="shared" si="2"/>
        <v>4204800000</v>
      </c>
      <c r="N18" s="15">
        <f t="shared" si="3"/>
        <v>32344615.384615384</v>
      </c>
      <c r="O18" s="13"/>
      <c r="Q18" s="11">
        <f t="shared" si="4"/>
        <v>3500000</v>
      </c>
      <c r="R18" s="12">
        <f t="shared" si="5"/>
        <v>568847.84839420114</v>
      </c>
      <c r="S18" s="11">
        <f t="shared" si="6"/>
        <v>1051200</v>
      </c>
      <c r="T18" s="16">
        <f t="shared" si="7"/>
        <v>170849.38806628122</v>
      </c>
      <c r="U18" s="16">
        <f t="shared" si="8"/>
        <v>242584615.38461539</v>
      </c>
      <c r="V18" s="17">
        <f t="shared" si="9"/>
        <v>39426781.86144951</v>
      </c>
      <c r="W18" s="12">
        <f t="shared" si="10"/>
        <v>40166479.097909994</v>
      </c>
      <c r="X18" s="13"/>
      <c r="Z18" s="13"/>
    </row>
    <row r="19" spans="7:26" x14ac:dyDescent="0.45">
      <c r="G19" s="4">
        <v>14</v>
      </c>
      <c r="I19" s="13">
        <f t="shared" si="0"/>
        <v>700800</v>
      </c>
      <c r="J19" s="13">
        <f t="shared" si="1"/>
        <v>99043.123516684762</v>
      </c>
      <c r="K19" s="13"/>
      <c r="L19" s="13">
        <f t="shared" si="11"/>
        <v>2522880000</v>
      </c>
      <c r="M19" s="14">
        <f t="shared" si="2"/>
        <v>4204800000</v>
      </c>
      <c r="N19" s="15">
        <f t="shared" si="3"/>
        <v>32344615.384615384</v>
      </c>
      <c r="O19" s="13"/>
      <c r="Q19" s="11">
        <f t="shared" si="4"/>
        <v>3500000</v>
      </c>
      <c r="R19" s="12">
        <f t="shared" si="5"/>
        <v>494650.30295147927</v>
      </c>
      <c r="S19" s="11">
        <f t="shared" si="6"/>
        <v>1051200</v>
      </c>
      <c r="T19" s="16">
        <f t="shared" si="7"/>
        <v>148564.68527502715</v>
      </c>
      <c r="U19" s="16">
        <f t="shared" si="8"/>
        <v>242584615.38461539</v>
      </c>
      <c r="V19" s="17">
        <f t="shared" si="9"/>
        <v>34284158.14039088</v>
      </c>
      <c r="W19" s="12">
        <f t="shared" si="10"/>
        <v>34927373.128617384</v>
      </c>
      <c r="X19" s="13"/>
      <c r="Z19" s="13"/>
    </row>
    <row r="20" spans="7:26" x14ac:dyDescent="0.45">
      <c r="G20" s="4">
        <v>15</v>
      </c>
      <c r="I20" s="13">
        <f t="shared" si="0"/>
        <v>700800</v>
      </c>
      <c r="J20" s="13">
        <f t="shared" si="1"/>
        <v>86124.455231899818</v>
      </c>
      <c r="K20" s="13"/>
      <c r="L20" s="13">
        <f t="shared" si="11"/>
        <v>2522880000</v>
      </c>
      <c r="M20" s="14">
        <f t="shared" si="2"/>
        <v>4204800000</v>
      </c>
      <c r="N20" s="15">
        <f t="shared" si="3"/>
        <v>32344615.384615384</v>
      </c>
      <c r="O20" s="13"/>
      <c r="Q20" s="11">
        <f t="shared" si="4"/>
        <v>3500000</v>
      </c>
      <c r="R20" s="12">
        <f t="shared" si="5"/>
        <v>430130.69821867772</v>
      </c>
      <c r="S20" s="11">
        <f t="shared" si="6"/>
        <v>1051200</v>
      </c>
      <c r="T20" s="16">
        <f t="shared" si="7"/>
        <v>129186.68284784973</v>
      </c>
      <c r="U20" s="16">
        <f t="shared" si="8"/>
        <v>242584615.38461539</v>
      </c>
      <c r="V20" s="17">
        <f t="shared" si="9"/>
        <v>29812311.426426861</v>
      </c>
      <c r="W20" s="12">
        <f t="shared" si="10"/>
        <v>30371628.807493389</v>
      </c>
      <c r="X20" s="13"/>
      <c r="Z20" s="13"/>
    </row>
    <row r="21" spans="7:26" x14ac:dyDescent="0.45">
      <c r="G21" s="4">
        <v>16</v>
      </c>
      <c r="I21" s="13">
        <f t="shared" si="0"/>
        <v>700800</v>
      </c>
      <c r="J21" s="13">
        <f t="shared" si="1"/>
        <v>74890.830636434635</v>
      </c>
      <c r="K21" s="13"/>
      <c r="L21" s="13">
        <f t="shared" si="11"/>
        <v>2522880000</v>
      </c>
      <c r="M21" s="14">
        <f t="shared" si="2"/>
        <v>4204800000</v>
      </c>
      <c r="N21" s="15">
        <f t="shared" si="3"/>
        <v>32344615.384615384</v>
      </c>
      <c r="O21" s="13"/>
      <c r="Q21" s="11">
        <f t="shared" si="4"/>
        <v>3500000</v>
      </c>
      <c r="R21" s="12">
        <f t="shared" si="5"/>
        <v>374026.69410319813</v>
      </c>
      <c r="S21" s="11">
        <f t="shared" si="6"/>
        <v>1051200</v>
      </c>
      <c r="T21" s="16">
        <f t="shared" si="7"/>
        <v>112336.24595465195</v>
      </c>
      <c r="U21" s="16">
        <f t="shared" si="8"/>
        <v>242584615.38461539</v>
      </c>
      <c r="V21" s="17">
        <f t="shared" si="9"/>
        <v>25923749.066458143</v>
      </c>
      <c r="W21" s="12">
        <f t="shared" si="10"/>
        <v>26410112.006515995</v>
      </c>
      <c r="X21" s="13"/>
      <c r="Z21" s="13"/>
    </row>
    <row r="22" spans="7:26" x14ac:dyDescent="0.45">
      <c r="G22" s="4">
        <v>17</v>
      </c>
      <c r="I22" s="13">
        <f t="shared" si="0"/>
        <v>700800</v>
      </c>
      <c r="J22" s="13">
        <f t="shared" si="1"/>
        <v>65122.461422986649</v>
      </c>
      <c r="K22" s="13"/>
      <c r="L22" s="13">
        <f t="shared" si="11"/>
        <v>2522880000</v>
      </c>
      <c r="M22" s="14">
        <f t="shared" si="2"/>
        <v>4204800000</v>
      </c>
      <c r="N22" s="15">
        <f t="shared" si="3"/>
        <v>32344615.384615384</v>
      </c>
      <c r="O22" s="13"/>
      <c r="Q22" s="11">
        <f t="shared" si="4"/>
        <v>3500000</v>
      </c>
      <c r="R22" s="12">
        <f t="shared" si="5"/>
        <v>325240.60356799839</v>
      </c>
      <c r="S22" s="11">
        <f t="shared" si="6"/>
        <v>1051200</v>
      </c>
      <c r="T22" s="16">
        <f t="shared" si="7"/>
        <v>97683.692134479963</v>
      </c>
      <c r="U22" s="16">
        <f t="shared" si="8"/>
        <v>242584615.38461539</v>
      </c>
      <c r="V22" s="17">
        <f t="shared" si="9"/>
        <v>22542390.4925723</v>
      </c>
      <c r="W22" s="12">
        <f t="shared" si="10"/>
        <v>22965314.78827478</v>
      </c>
      <c r="X22" s="13"/>
      <c r="Z22" s="13"/>
    </row>
    <row r="23" spans="7:26" x14ac:dyDescent="0.45">
      <c r="G23" s="4">
        <v>18</v>
      </c>
      <c r="I23" s="13">
        <f t="shared" si="0"/>
        <v>700800</v>
      </c>
      <c r="J23" s="13">
        <f t="shared" si="1"/>
        <v>56628.227324336221</v>
      </c>
      <c r="K23" s="13"/>
      <c r="L23" s="13">
        <f t="shared" si="11"/>
        <v>2522880000</v>
      </c>
      <c r="M23" s="14">
        <f t="shared" si="2"/>
        <v>4204800000</v>
      </c>
      <c r="N23" s="15">
        <f t="shared" si="3"/>
        <v>32344615.384615384</v>
      </c>
      <c r="O23" s="13"/>
      <c r="Q23" s="11">
        <f t="shared" si="4"/>
        <v>3500000</v>
      </c>
      <c r="R23" s="12">
        <f t="shared" si="5"/>
        <v>282817.9161460856</v>
      </c>
      <c r="S23" s="11">
        <f t="shared" si="6"/>
        <v>1051200</v>
      </c>
      <c r="T23" s="16">
        <f t="shared" si="7"/>
        <v>84942.340986504336</v>
      </c>
      <c r="U23" s="16">
        <f t="shared" si="8"/>
        <v>242584615.38461539</v>
      </c>
      <c r="V23" s="17">
        <f t="shared" si="9"/>
        <v>19602078.689193308</v>
      </c>
      <c r="W23" s="12">
        <f t="shared" si="10"/>
        <v>19969838.946325898</v>
      </c>
      <c r="X23" s="13"/>
      <c r="Z23" s="13"/>
    </row>
    <row r="24" spans="7:26" x14ac:dyDescent="0.45">
      <c r="G24" s="4">
        <v>19</v>
      </c>
      <c r="I24" s="13">
        <f t="shared" si="0"/>
        <v>700800</v>
      </c>
      <c r="J24" s="13">
        <f t="shared" si="1"/>
        <v>49241.93680377063</v>
      </c>
      <c r="K24" s="13"/>
      <c r="L24" s="13">
        <f t="shared" si="11"/>
        <v>2522880000</v>
      </c>
      <c r="M24" s="14">
        <f t="shared" si="2"/>
        <v>4204800000</v>
      </c>
      <c r="N24" s="15">
        <f t="shared" si="3"/>
        <v>32344615.384615384</v>
      </c>
      <c r="O24" s="13"/>
      <c r="Q24" s="11">
        <f t="shared" si="4"/>
        <v>3500000</v>
      </c>
      <c r="R24" s="12">
        <f t="shared" si="5"/>
        <v>245928.62273572662</v>
      </c>
      <c r="S24" s="11">
        <f t="shared" si="6"/>
        <v>1051200</v>
      </c>
      <c r="T24" s="16">
        <f t="shared" si="7"/>
        <v>73862.905205655945</v>
      </c>
      <c r="U24" s="16">
        <f t="shared" si="8"/>
        <v>242584615.38461539</v>
      </c>
      <c r="V24" s="17">
        <f t="shared" si="9"/>
        <v>17045285.816689834</v>
      </c>
      <c r="W24" s="12">
        <f t="shared" si="10"/>
        <v>17365077.344631217</v>
      </c>
      <c r="X24" s="13"/>
      <c r="Z24" s="13"/>
    </row>
    <row r="25" spans="7:26" x14ac:dyDescent="0.45">
      <c r="G25" s="4">
        <v>20</v>
      </c>
      <c r="I25" s="13">
        <f t="shared" si="0"/>
        <v>700800</v>
      </c>
      <c r="J25" s="13">
        <f t="shared" si="1"/>
        <v>42819.075481539687</v>
      </c>
      <c r="K25" s="13"/>
      <c r="L25" s="13">
        <f t="shared" si="11"/>
        <v>2522880000</v>
      </c>
      <c r="M25" s="14">
        <f t="shared" si="2"/>
        <v>4204800000</v>
      </c>
      <c r="N25" s="15">
        <f t="shared" si="3"/>
        <v>32344615.384615384</v>
      </c>
      <c r="O25" s="13"/>
      <c r="Q25" s="11">
        <f t="shared" si="4"/>
        <v>3500000</v>
      </c>
      <c r="R25" s="12">
        <f t="shared" si="5"/>
        <v>213850.97629193621</v>
      </c>
      <c r="S25" s="11">
        <f t="shared" si="6"/>
        <v>1051200</v>
      </c>
      <c r="T25" s="16">
        <f t="shared" si="7"/>
        <v>64228.613222309526</v>
      </c>
      <c r="U25" s="16">
        <f t="shared" si="8"/>
        <v>242584615.38461539</v>
      </c>
      <c r="V25" s="17">
        <f t="shared" si="9"/>
        <v>14821987.666686814</v>
      </c>
      <c r="W25" s="12">
        <f t="shared" si="10"/>
        <v>15100067.25620106</v>
      </c>
      <c r="X25" s="13"/>
      <c r="Z25" s="13"/>
    </row>
  </sheetData>
  <mergeCells count="3">
    <mergeCell ref="I3:J3"/>
    <mergeCell ref="L3:N3"/>
    <mergeCell ref="P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Calculations - @RISK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Alan Franklin</cp:lastModifiedBy>
  <dcterms:created xsi:type="dcterms:W3CDTF">2015-06-05T18:17:20Z</dcterms:created>
  <dcterms:modified xsi:type="dcterms:W3CDTF">2026-10-18T15:32:16Z</dcterms:modified>
</cp:coreProperties>
</file>