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6dd3a8d7244e87/Alex's Stuff/School Info Current/MECH 408/"/>
    </mc:Choice>
  </mc:AlternateContent>
  <xr:revisionPtr revIDLastSave="15" documentId="11_F25DC773A252ABDACC1048B911DF76385BDE58EA" xr6:coauthVersionLast="47" xr6:coauthVersionMax="47" xr10:uidLastSave="{0BF335B3-4FB2-4C35-B19D-120047DA9A71}"/>
  <bookViews>
    <workbookView xWindow="10718" yWindow="0" windowWidth="10965" windowHeight="13763" activeTab="1" xr2:uid="{00000000-000D-0000-FFFF-FFFF00000000}"/>
  </bookViews>
  <sheets>
    <sheet name="Problem Statement" sheetId="1" r:id="rId1"/>
    <sheet name="Calculation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C18" i="2" s="1"/>
  <c r="C19" i="2" s="1"/>
  <c r="C20" i="2" s="1"/>
  <c r="C21" i="2" s="1"/>
  <c r="G5" i="2"/>
  <c r="G6" i="2" l="1"/>
  <c r="H5" i="2"/>
  <c r="H6" i="2" l="1"/>
  <c r="I6" i="2" s="1"/>
  <c r="G7" i="2"/>
  <c r="H7" i="2" l="1"/>
  <c r="I7" i="2" s="1"/>
  <c r="G8" i="2"/>
  <c r="H8" i="2" l="1"/>
  <c r="I8" i="2" s="1"/>
  <c r="G9" i="2"/>
  <c r="H9" i="2" l="1"/>
  <c r="I9" i="2" s="1"/>
  <c r="G10" i="2"/>
  <c r="H10" i="2" l="1"/>
  <c r="I10" i="2" s="1"/>
  <c r="G11" i="2"/>
  <c r="H11" i="2" l="1"/>
  <c r="I11" i="2" s="1"/>
  <c r="G12" i="2"/>
  <c r="H12" i="2" l="1"/>
  <c r="I12" i="2" s="1"/>
  <c r="G13" i="2"/>
  <c r="H13" i="2" l="1"/>
  <c r="I13" i="2" s="1"/>
  <c r="G14" i="2"/>
  <c r="H14" i="2" l="1"/>
  <c r="I14" i="2" s="1"/>
  <c r="G15" i="2"/>
  <c r="H15" i="2" l="1"/>
  <c r="I15" i="2" s="1"/>
  <c r="G16" i="2"/>
  <c r="H16" i="2" l="1"/>
  <c r="I16" i="2" s="1"/>
  <c r="G17" i="2"/>
  <c r="H17" i="2" l="1"/>
  <c r="I17" i="2" s="1"/>
  <c r="G18" i="2"/>
  <c r="H18" i="2" l="1"/>
  <c r="I18" i="2" s="1"/>
  <c r="G19" i="2"/>
  <c r="H19" i="2" l="1"/>
  <c r="I19" i="2" s="1"/>
  <c r="G20" i="2"/>
  <c r="H20" i="2" l="1"/>
  <c r="I20" i="2" s="1"/>
  <c r="G21" i="2"/>
  <c r="H21" i="2" l="1"/>
  <c r="I21" i="2" s="1"/>
  <c r="G22" i="2"/>
  <c r="H22" i="2" l="1"/>
  <c r="I22" i="2" s="1"/>
  <c r="G23" i="2"/>
  <c r="H23" i="2" l="1"/>
  <c r="I23" i="2" s="1"/>
  <c r="G24" i="2"/>
  <c r="H24" i="2" l="1"/>
  <c r="I24" i="2" s="1"/>
  <c r="G25" i="2"/>
  <c r="H25" i="2" l="1"/>
  <c r="I25" i="2" s="1"/>
  <c r="G26" i="2"/>
  <c r="H26" i="2" l="1"/>
  <c r="I26" i="2" s="1"/>
  <c r="G27" i="2"/>
  <c r="H27" i="2" l="1"/>
  <c r="I27" i="2" s="1"/>
  <c r="G28" i="2"/>
  <c r="H28" i="2" l="1"/>
  <c r="I28" i="2" s="1"/>
  <c r="G29" i="2"/>
  <c r="G30" i="2" l="1"/>
  <c r="H29" i="2"/>
  <c r="I29" i="2" s="1"/>
  <c r="H30" i="2" l="1"/>
  <c r="I30" i="2" s="1"/>
  <c r="G31" i="2"/>
  <c r="H31" i="2" l="1"/>
  <c r="I31" i="2" s="1"/>
  <c r="G32" i="2"/>
  <c r="H32" i="2" l="1"/>
  <c r="I32" i="2" s="1"/>
  <c r="G33" i="2"/>
  <c r="G34" i="2" l="1"/>
  <c r="H33" i="2"/>
  <c r="I33" i="2" s="1"/>
  <c r="H34" i="2" l="1"/>
  <c r="I34" i="2" s="1"/>
  <c r="G35" i="2"/>
  <c r="H35" i="2" l="1"/>
  <c r="I35" i="2" s="1"/>
  <c r="G36" i="2"/>
  <c r="H36" i="2" l="1"/>
  <c r="I36" i="2" s="1"/>
  <c r="G37" i="2"/>
  <c r="H37" i="2" l="1"/>
  <c r="I37" i="2" s="1"/>
  <c r="G38" i="2"/>
  <c r="H38" i="2" l="1"/>
  <c r="I38" i="2" s="1"/>
  <c r="G39" i="2"/>
  <c r="H39" i="2" l="1"/>
  <c r="I39" i="2" s="1"/>
  <c r="G40" i="2"/>
  <c r="H40" i="2" l="1"/>
  <c r="I40" i="2" s="1"/>
  <c r="G41" i="2"/>
  <c r="H41" i="2" l="1"/>
  <c r="I41" i="2" s="1"/>
  <c r="G42" i="2"/>
  <c r="H42" i="2" l="1"/>
  <c r="I42" i="2" s="1"/>
  <c r="G43" i="2"/>
  <c r="H43" i="2" l="1"/>
  <c r="I43" i="2" s="1"/>
  <c r="G44" i="2"/>
  <c r="H44" i="2" l="1"/>
  <c r="I44" i="2" s="1"/>
  <c r="G45" i="2"/>
  <c r="N5" i="2" l="1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20" i="2"/>
  <c r="N22" i="2"/>
  <c r="N24" i="2"/>
  <c r="N26" i="2"/>
  <c r="N28" i="2"/>
  <c r="N29" i="2"/>
  <c r="N32" i="2"/>
  <c r="N33" i="2"/>
  <c r="H45" i="2"/>
  <c r="I45" i="2" s="1"/>
  <c r="N19" i="2"/>
  <c r="N21" i="2"/>
  <c r="N23" i="2"/>
  <c r="N25" i="2"/>
  <c r="N27" i="2"/>
  <c r="N30" i="2"/>
  <c r="N31" i="2"/>
  <c r="N34" i="2"/>
  <c r="O5" i="2" l="1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</calcChain>
</file>

<file path=xl/sharedStrings.xml><?xml version="1.0" encoding="utf-8"?>
<sst xmlns="http://schemas.openxmlformats.org/spreadsheetml/2006/main" count="55" uniqueCount="52">
  <si>
    <t>Given</t>
  </si>
  <si>
    <t>Calculations</t>
  </si>
  <si>
    <t>Initial salary</t>
  </si>
  <si>
    <t>Accumulation Phase</t>
  </si>
  <si>
    <t>Withdrawal Phase</t>
  </si>
  <si>
    <t>Salary growth</t>
  </si>
  <si>
    <t>Age</t>
  </si>
  <si>
    <t>Year</t>
  </si>
  <si>
    <t>Salary</t>
  </si>
  <si>
    <t>Savings</t>
  </si>
  <si>
    <t>Account Balance</t>
  </si>
  <si>
    <t>Withdrawl</t>
  </si>
  <si>
    <t>Working years</t>
  </si>
  <si>
    <t>Investment returns (working)</t>
  </si>
  <si>
    <t>Retirement period</t>
  </si>
  <si>
    <t>Retirement income of final year salary</t>
  </si>
  <si>
    <t>Inflation rate</t>
  </si>
  <si>
    <t>Investment returns (retired)</t>
  </si>
  <si>
    <t>Taxes</t>
  </si>
  <si>
    <t>N/A</t>
  </si>
  <si>
    <t>Final Salary</t>
  </si>
  <si>
    <t>Year 1 Retirement Income</t>
  </si>
  <si>
    <t>PV_Retirement Withdrawls</t>
  </si>
  <si>
    <t>Annual Savings Needed</t>
  </si>
  <si>
    <t>Savings Percentage</t>
  </si>
  <si>
    <t>dream job with a starting annual salary of $66,000. You are eager to plan for a comfortable</t>
  </si>
  <si>
    <t>retirement at age 65 and are currently 25 years old. You anticipate needing an annual retirement</t>
  </si>
  <si>
    <t>income equal to 70% of your final year's salary to maintain your desired lifestyle.</t>
  </si>
  <si>
    <t>Here are some additional details to consider:</t>
  </si>
  <si>
    <t>• Salary Growth: You expect your salary to increase by 4% per year throughout your 40-</t>
  </si>
  <si>
    <t>year career.</t>
  </si>
  <si>
    <t>• Investment Returns: You plan to invest in a diversified portfolio that is projected to</t>
  </si>
  <si>
    <t>yield an average annual return of 7%.</t>
  </si>
  <si>
    <t>• Inflation: The general inflation rate is expected to be 2.5% per year during retirement.</t>
  </si>
  <si>
    <t>• Retirement Period: You anticipate living for 30 years in retirement (from age 65 to 95).</t>
  </si>
  <si>
    <t>• Withdrawal Strategy: During retirement, you plan to make withdrawals at the</t>
  </si>
  <si>
    <t>beginning of each year to cover your living expenses. Assume the retirement investments</t>
  </si>
  <si>
    <t>will continue to earn a 3.5% annual return during this withdrawal period.</t>
  </si>
  <si>
    <t>• Taxes: For simplicity in this model, ignore the impact of taxes on both contributions and</t>
  </si>
  <si>
    <t>withdrawals.</t>
  </si>
  <si>
    <t>Develop a spreadsheet model to determine the annual savings you need to invest to achieve the</t>
  </si>
  <si>
    <t>desired retirement income. Your model should clearly account for salary growth, inflation during</t>
  </si>
  <si>
    <t>retirement, and investment returns during both the accumulation and withdrawal phases</t>
  </si>
  <si>
    <t>1. What fraction of your annual salary as a percentage do you need to save to meet your</t>
  </si>
  <si>
    <t>retirement expenses?</t>
  </si>
  <si>
    <t>2. Plot and comment on the annual income ($/yr), annual savings ($/yr), and retirement account</t>
  </si>
  <si>
    <t>balance ($) as a function of time over your 40-year career.</t>
  </si>
  <si>
    <t>3. Plot and comment on the annual withdrawals ($/yr) and retirement account balance ($) as a</t>
  </si>
  <si>
    <t>function of time over your 30-year retirement.</t>
  </si>
  <si>
    <t>4. Perform a sensitivity analysis to study the impacts of salary growth, investment growth, and</t>
  </si>
  <si>
    <t>inflation rate (separately) on the quality of your retirement.</t>
  </si>
  <si>
    <t>As a bright, newly graduated mechanical engineer, you have just landed your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</si>
</sst>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2" borderId="0" xfId="0" applyFill="1"/>
    <xf numFmtId="8" fontId="0" fillId="2" borderId="0" xfId="0" applyNumberFormat="1" applyFill="1" applyAlignment="1">
      <alignment horizontal="center"/>
    </xf>
    <xf numFmtId="9" fontId="0" fillId="2" borderId="0" xfId="1" applyFont="1" applyFill="1" applyAlignment="1">
      <alignment horizontal="center"/>
    </xf>
    <xf numFmtId="0" fontId="3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Calculations!$G$4</c:f>
              <c:strCache>
                <c:ptCount val="1"/>
                <c:pt idx="0">
                  <c:v>Salary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Calculations!$F$5:$F$45</c15:sqref>
                  </c15:fullRef>
                </c:ext>
              </c:extLst>
              <c:f>Calculations!$F$6:$F$45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Calculations!$G$5:$G$45</c15:sqref>
                  </c15:fullRef>
                </c:ext>
              </c:extLst>
              <c:f>Calculations!$G$6:$G$45</c:f>
              <c:numCache>
                <c:formatCode>"$"#,##0.00_);[Red]\("$"#,##0.00\)</c:formatCode>
                <c:ptCount val="40"/>
                <c:pt idx="0">
                  <c:v>68640</c:v>
                </c:pt>
                <c:pt idx="1">
                  <c:v>71385.600000000006</c:v>
                </c:pt>
                <c:pt idx="2">
                  <c:v>74241.024000000005</c:v>
                </c:pt>
                <c:pt idx="3">
                  <c:v>77210.664960000009</c:v>
                </c:pt>
                <c:pt idx="4">
                  <c:v>80299.091558400018</c:v>
                </c:pt>
                <c:pt idx="5">
                  <c:v>83511.055220736016</c:v>
                </c:pt>
                <c:pt idx="6">
                  <c:v>86851.497429565454</c:v>
                </c:pt>
                <c:pt idx="7">
                  <c:v>90325.55732674808</c:v>
                </c:pt>
                <c:pt idx="8">
                  <c:v>93938.579619818003</c:v>
                </c:pt>
                <c:pt idx="9">
                  <c:v>97696.122804610728</c:v>
                </c:pt>
                <c:pt idx="10">
                  <c:v>101603.96771679516</c:v>
                </c:pt>
                <c:pt idx="11">
                  <c:v>105668.12642546697</c:v>
                </c:pt>
                <c:pt idx="12">
                  <c:v>109894.85148248565</c:v>
                </c:pt>
                <c:pt idx="13">
                  <c:v>114290.64554178508</c:v>
                </c:pt>
                <c:pt idx="14">
                  <c:v>118862.27136345649</c:v>
                </c:pt>
                <c:pt idx="15">
                  <c:v>123616.76221799475</c:v>
                </c:pt>
                <c:pt idx="16">
                  <c:v>128561.43270671455</c:v>
                </c:pt>
                <c:pt idx="17">
                  <c:v>133703.89001498313</c:v>
                </c:pt>
                <c:pt idx="18">
                  <c:v>139052.04561558246</c:v>
                </c:pt>
                <c:pt idx="19">
                  <c:v>144614.12744020578</c:v>
                </c:pt>
                <c:pt idx="20">
                  <c:v>150398.692537814</c:v>
                </c:pt>
                <c:pt idx="21">
                  <c:v>156414.64023932657</c:v>
                </c:pt>
                <c:pt idx="22">
                  <c:v>162671.22584889963</c:v>
                </c:pt>
                <c:pt idx="23">
                  <c:v>169178.07488285561</c:v>
                </c:pt>
                <c:pt idx="24">
                  <c:v>175945.19787816983</c:v>
                </c:pt>
                <c:pt idx="25">
                  <c:v>182983.00579329662</c:v>
                </c:pt>
                <c:pt idx="26">
                  <c:v>190302.32602502848</c:v>
                </c:pt>
                <c:pt idx="27">
                  <c:v>197914.41906602963</c:v>
                </c:pt>
                <c:pt idx="28">
                  <c:v>205830.99582867083</c:v>
                </c:pt>
                <c:pt idx="29">
                  <c:v>214064.23566181766</c:v>
                </c:pt>
                <c:pt idx="30">
                  <c:v>222626.80508829036</c:v>
                </c:pt>
                <c:pt idx="31">
                  <c:v>231531.87729182199</c:v>
                </c:pt>
                <c:pt idx="32">
                  <c:v>240793.15238349489</c:v>
                </c:pt>
                <c:pt idx="33">
                  <c:v>250424.8784788347</c:v>
                </c:pt>
                <c:pt idx="34">
                  <c:v>260441.87361798808</c:v>
                </c:pt>
                <c:pt idx="35">
                  <c:v>270859.54856270761</c:v>
                </c:pt>
                <c:pt idx="36">
                  <c:v>281693.93050521595</c:v>
                </c:pt>
                <c:pt idx="37">
                  <c:v>292961.68772542459</c:v>
                </c:pt>
                <c:pt idx="38">
                  <c:v>304680.15523444157</c:v>
                </c:pt>
                <c:pt idx="39">
                  <c:v>316867.36144381925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A9-49AB-B1C8-A2C668060C72}"/>
            </c:ext>
          </c:extLst>
        </c:ser>
        <c:ser>
          <c:idx val="2"/>
          <c:order val="2"/>
          <c:tx>
            <c:strRef>
              <c:f>Calculations!$H$4</c:f>
              <c:strCache>
                <c:ptCount val="1"/>
                <c:pt idx="0">
                  <c:v>Savings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Calculations!$F$5:$F$45</c15:sqref>
                  </c15:fullRef>
                </c:ext>
              </c:extLst>
              <c:f>Calculations!$F$6:$F$45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Calculations!$H$5:$H$45</c15:sqref>
                  </c15:fullRef>
                </c:ext>
              </c:extLst>
              <c:f>Calculations!$H$6:$H$45</c:f>
              <c:numCache>
                <c:formatCode>"$"#,##0.00</c:formatCode>
                <c:ptCount val="40"/>
                <c:pt idx="0">
                  <c:v>21995.930532575549</c:v>
                </c:pt>
                <c:pt idx="1">
                  <c:v>22875.767753878572</c:v>
                </c:pt>
                <c:pt idx="2">
                  <c:v>23790.798464033716</c:v>
                </c:pt>
                <c:pt idx="3">
                  <c:v>24742.430402595066</c:v>
                </c:pt>
                <c:pt idx="4">
                  <c:v>25732.127618698873</c:v>
                </c:pt>
                <c:pt idx="5">
                  <c:v>26761.412723446825</c:v>
                </c:pt>
                <c:pt idx="6">
                  <c:v>27831.869232384699</c:v>
                </c:pt>
                <c:pt idx="7">
                  <c:v>28945.144001680088</c:v>
                </c:pt>
                <c:pt idx="8">
                  <c:v>30102.949761747292</c:v>
                </c:pt>
                <c:pt idx="9">
                  <c:v>31307.067752217186</c:v>
                </c:pt>
                <c:pt idx="10">
                  <c:v>32559.350462305872</c:v>
                </c:pt>
                <c:pt idx="11">
                  <c:v>33861.724480798104</c:v>
                </c:pt>
                <c:pt idx="12">
                  <c:v>35216.193460030037</c:v>
                </c:pt>
                <c:pt idx="13">
                  <c:v>36624.841198431233</c:v>
                </c:pt>
                <c:pt idx="14">
                  <c:v>38089.834846368489</c:v>
                </c:pt>
                <c:pt idx="15">
                  <c:v>39613.428240223227</c:v>
                </c:pt>
                <c:pt idx="16">
                  <c:v>41197.965369832164</c:v>
                </c:pt>
                <c:pt idx="17">
                  <c:v>42845.883984625449</c:v>
                </c:pt>
                <c:pt idx="18">
                  <c:v>44559.719344010467</c:v>
                </c:pt>
                <c:pt idx="19">
                  <c:v>46342.108117770891</c:v>
                </c:pt>
                <c:pt idx="20">
                  <c:v>48195.792442481725</c:v>
                </c:pt>
                <c:pt idx="21">
                  <c:v>50123.624140180997</c:v>
                </c:pt>
                <c:pt idx="22">
                  <c:v>52128.569105788236</c:v>
                </c:pt>
                <c:pt idx="23">
                  <c:v>54213.711870019761</c:v>
                </c:pt>
                <c:pt idx="24">
                  <c:v>56382.260344820548</c:v>
                </c:pt>
                <c:pt idx="25">
                  <c:v>58637.550758613368</c:v>
                </c:pt>
                <c:pt idx="26">
                  <c:v>60983.052788957903</c:v>
                </c:pt>
                <c:pt idx="27">
                  <c:v>63422.374900516224</c:v>
                </c:pt>
                <c:pt idx="28">
                  <c:v>65959.269896536876</c:v>
                </c:pt>
                <c:pt idx="29">
                  <c:v>68597.640692398345</c:v>
                </c:pt>
                <c:pt idx="30">
                  <c:v>71341.54632009429</c:v>
                </c:pt>
                <c:pt idx="31">
                  <c:v>74195.208172898056</c:v>
                </c:pt>
                <c:pt idx="32">
                  <c:v>77163.016499813995</c:v>
                </c:pt>
                <c:pt idx="33">
                  <c:v>80249.537159806554</c:v>
                </c:pt>
                <c:pt idx="34">
                  <c:v>83459.51864619882</c:v>
                </c:pt>
                <c:pt idx="35">
                  <c:v>86797.899392046762</c:v>
                </c:pt>
                <c:pt idx="36">
                  <c:v>90269.815367728646</c:v>
                </c:pt>
                <c:pt idx="37">
                  <c:v>93880.607982437796</c:v>
                </c:pt>
                <c:pt idx="38">
                  <c:v>97635.83230173531</c:v>
                </c:pt>
                <c:pt idx="39">
                  <c:v>101541.26559380472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A9-49AB-B1C8-A2C668060C72}"/>
            </c:ext>
          </c:extLst>
        </c:ser>
        <c:ser>
          <c:idx val="3"/>
          <c:order val="3"/>
          <c:tx>
            <c:strRef>
              <c:f>Calculations!$I$4</c:f>
              <c:strCache>
                <c:ptCount val="1"/>
                <c:pt idx="0">
                  <c:v>Account Balance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Calculations!$F$5:$F$45</c15:sqref>
                  </c15:fullRef>
                </c:ext>
              </c:extLst>
              <c:f>Calculations!$F$6:$F$45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Calculations!$I$5:$I$45</c15:sqref>
                  </c15:fullRef>
                </c:ext>
              </c:extLst>
              <c:f>Calculations!$I$6:$I$45</c:f>
              <c:numCache>
                <c:formatCode>"$"#,##0.00</c:formatCode>
                <c:ptCount val="40"/>
                <c:pt idx="0">
                  <c:v>21995.930532575549</c:v>
                </c:pt>
                <c:pt idx="1">
                  <c:v>46411.413423734411</c:v>
                </c:pt>
                <c:pt idx="2">
                  <c:v>73451.010827429534</c:v>
                </c:pt>
                <c:pt idx="3">
                  <c:v>103335.01198794467</c:v>
                </c:pt>
                <c:pt idx="4">
                  <c:v>136300.59044579969</c:v>
                </c:pt>
                <c:pt idx="5">
                  <c:v>172603.0445004525</c:v>
                </c:pt>
                <c:pt idx="6">
                  <c:v>212517.12684786887</c:v>
                </c:pt>
                <c:pt idx="7">
                  <c:v>256338.46972889977</c:v>
                </c:pt>
                <c:pt idx="8">
                  <c:v>304385.11237167002</c:v>
                </c:pt>
                <c:pt idx="9">
                  <c:v>356999.13798990409</c:v>
                </c:pt>
                <c:pt idx="10">
                  <c:v>414548.42811150331</c:v>
                </c:pt>
                <c:pt idx="11">
                  <c:v>477428.54256010667</c:v>
                </c:pt>
                <c:pt idx="12">
                  <c:v>546064.73399934417</c:v>
                </c:pt>
                <c:pt idx="13">
                  <c:v>620914.10657772946</c:v>
                </c:pt>
                <c:pt idx="14">
                  <c:v>702467.92888453905</c:v>
                </c:pt>
                <c:pt idx="15">
                  <c:v>791254.11214668001</c:v>
                </c:pt>
                <c:pt idx="16">
                  <c:v>887839.86536677973</c:v>
                </c:pt>
                <c:pt idx="17">
                  <c:v>992834.53992707981</c:v>
                </c:pt>
                <c:pt idx="18">
                  <c:v>1106892.677065986</c:v>
                </c:pt>
                <c:pt idx="19">
                  <c:v>1230717.2725783759</c:v>
                </c:pt>
                <c:pt idx="20">
                  <c:v>1365063.2741013439</c:v>
                </c:pt>
                <c:pt idx="21">
                  <c:v>1510741.3274286189</c:v>
                </c:pt>
                <c:pt idx="22">
                  <c:v>1668621.7894544106</c:v>
                </c:pt>
                <c:pt idx="23">
                  <c:v>1839639.0265862392</c:v>
                </c:pt>
                <c:pt idx="24">
                  <c:v>2024796.0187920968</c:v>
                </c:pt>
                <c:pt idx="25">
                  <c:v>2225169.290866157</c:v>
                </c:pt>
                <c:pt idx="26">
                  <c:v>2441914.194015746</c:v>
                </c:pt>
                <c:pt idx="27">
                  <c:v>2676270.5624973644</c:v>
                </c:pt>
                <c:pt idx="28">
                  <c:v>2929568.7717687171</c:v>
                </c:pt>
                <c:pt idx="29">
                  <c:v>3203236.226484926</c:v>
                </c:pt>
                <c:pt idx="30">
                  <c:v>3498804.3086589654</c:v>
                </c:pt>
                <c:pt idx="31">
                  <c:v>3817915.8184379917</c:v>
                </c:pt>
                <c:pt idx="32">
                  <c:v>4162332.9422284653</c:v>
                </c:pt>
                <c:pt idx="33">
                  <c:v>4533945.7853442645</c:v>
                </c:pt>
                <c:pt idx="34">
                  <c:v>4934781.5089645628</c:v>
                </c:pt>
                <c:pt idx="35">
                  <c:v>5367014.1139841294</c:v>
                </c:pt>
                <c:pt idx="36">
                  <c:v>5832974.9173307475</c:v>
                </c:pt>
                <c:pt idx="37">
                  <c:v>6335163.7695263382</c:v>
                </c:pt>
                <c:pt idx="38">
                  <c:v>6876261.065694917</c:v>
                </c:pt>
                <c:pt idx="39">
                  <c:v>7459140.6058873665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A9-49AB-B1C8-A2C668060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8401432"/>
        <c:axId val="5783917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Calculations!$F$4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Calculations!$F$5:$F$45</c15:sqref>
                        </c15:fullRef>
                        <c15:formulaRef>
                          <c15:sqref>Calculations!$F$6:$F$45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Calculations!$F$5:$F$45</c15:sqref>
                        </c15:fullRef>
                        <c15:formulaRef>
                          <c15:sqref>Calculations!$F$6:$F$45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7A9-49AB-B1C8-A2C668060C72}"/>
                  </c:ext>
                </c:extLst>
              </c15:ser>
            </c15:filteredLineSeries>
          </c:ext>
        </c:extLst>
      </c:lineChart>
      <c:catAx>
        <c:axId val="578401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391712"/>
        <c:crosses val="autoZero"/>
        <c:auto val="1"/>
        <c:lblAlgn val="ctr"/>
        <c:lblOffset val="100"/>
        <c:noMultiLvlLbl val="0"/>
      </c:catAx>
      <c:valAx>
        <c:axId val="57839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401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Calculations!$N$4</c:f>
              <c:strCache>
                <c:ptCount val="1"/>
                <c:pt idx="0">
                  <c:v>Withdrawl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Calculations!$N$5:$N$34</c:f>
              <c:numCache>
                <c:formatCode>"$"#,##0.00_);[Red]\("$"#,##0.00\)</c:formatCode>
                <c:ptCount val="30"/>
                <c:pt idx="0">
                  <c:v>221807.15301067347</c:v>
                </c:pt>
                <c:pt idx="1">
                  <c:v>227352.33183594028</c:v>
                </c:pt>
                <c:pt idx="2">
                  <c:v>233036.14013183879</c:v>
                </c:pt>
                <c:pt idx="3">
                  <c:v>238862.04363513476</c:v>
                </c:pt>
                <c:pt idx="4">
                  <c:v>244833.59472601311</c:v>
                </c:pt>
                <c:pt idx="5">
                  <c:v>250954.43459416341</c:v>
                </c:pt>
                <c:pt idx="6">
                  <c:v>257228.29545901748</c:v>
                </c:pt>
                <c:pt idx="7">
                  <c:v>263659.00284549291</c:v>
                </c:pt>
                <c:pt idx="8">
                  <c:v>270250.47791663022</c:v>
                </c:pt>
                <c:pt idx="9">
                  <c:v>277006.73986454593</c:v>
                </c:pt>
                <c:pt idx="10">
                  <c:v>283931.90836115956</c:v>
                </c:pt>
                <c:pt idx="11">
                  <c:v>291030.20607018855</c:v>
                </c:pt>
                <c:pt idx="12">
                  <c:v>298305.96122194326</c:v>
                </c:pt>
                <c:pt idx="13">
                  <c:v>305763.61025249184</c:v>
                </c:pt>
                <c:pt idx="14">
                  <c:v>313407.70050880406</c:v>
                </c:pt>
                <c:pt idx="15">
                  <c:v>321242.89302152424</c:v>
                </c:pt>
                <c:pt idx="16">
                  <c:v>329273.96534706233</c:v>
                </c:pt>
                <c:pt idx="17">
                  <c:v>337505.81448073883</c:v>
                </c:pt>
                <c:pt idx="18">
                  <c:v>345943.45984275732</c:v>
                </c:pt>
                <c:pt idx="19">
                  <c:v>354592.04633882624</c:v>
                </c:pt>
                <c:pt idx="20">
                  <c:v>363456.84749729687</c:v>
                </c:pt>
                <c:pt idx="21">
                  <c:v>372543.26868472924</c:v>
                </c:pt>
                <c:pt idx="22">
                  <c:v>381856.85040184745</c:v>
                </c:pt>
                <c:pt idx="23">
                  <c:v>391403.27166189364</c:v>
                </c:pt>
                <c:pt idx="24">
                  <c:v>401188.353453441</c:v>
                </c:pt>
                <c:pt idx="25">
                  <c:v>411218.06228977692</c:v>
                </c:pt>
                <c:pt idx="26">
                  <c:v>421498.51384702133</c:v>
                </c:pt>
                <c:pt idx="27">
                  <c:v>432035.97669319686</c:v>
                </c:pt>
                <c:pt idx="28">
                  <c:v>442836.87611052673</c:v>
                </c:pt>
                <c:pt idx="29">
                  <c:v>453907.79801328992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77-416A-8156-451E32925F20}"/>
            </c:ext>
          </c:extLst>
        </c:ser>
        <c:ser>
          <c:idx val="2"/>
          <c:order val="2"/>
          <c:tx>
            <c:strRef>
              <c:f>Calculations!$O$4</c:f>
              <c:strCache>
                <c:ptCount val="1"/>
                <c:pt idx="0">
                  <c:v>Account Balance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Calculations!$O$5:$O$34</c:f>
              <c:numCache>
                <c:formatCode>"$"#,##0.00_);[Red]\("$"#,##0.00\)</c:formatCode>
                <c:ptCount val="30"/>
                <c:pt idx="0">
                  <c:v>7237333.4528766926</c:v>
                </c:pt>
                <c:pt idx="1">
                  <c:v>7263287.7918914361</c:v>
                </c:pt>
                <c:pt idx="2">
                  <c:v>7284466.7244757973</c:v>
                </c:pt>
                <c:pt idx="3">
                  <c:v>7300561.0161973154</c:v>
                </c:pt>
                <c:pt idx="4">
                  <c:v>7311247.0570382075</c:v>
                </c:pt>
                <c:pt idx="5">
                  <c:v>7316186.2694403809</c:v>
                </c:pt>
                <c:pt idx="6">
                  <c:v>7315024.4934117766</c:v>
                </c:pt>
                <c:pt idx="7">
                  <c:v>7307391.3478356954</c:v>
                </c:pt>
                <c:pt idx="8">
                  <c:v>7292899.5670933146</c:v>
                </c:pt>
                <c:pt idx="9">
                  <c:v>7271144.3120770343</c:v>
                </c:pt>
                <c:pt idx="10">
                  <c:v>7241702.4546385705</c:v>
                </c:pt>
                <c:pt idx="11">
                  <c:v>7204131.8344807317</c:v>
                </c:pt>
                <c:pt idx="12">
                  <c:v>7157970.4874656135</c:v>
                </c:pt>
                <c:pt idx="13">
                  <c:v>7102735.8442744175</c:v>
                </c:pt>
                <c:pt idx="14">
                  <c:v>7037923.8983152173</c:v>
                </c:pt>
                <c:pt idx="15">
                  <c:v>6963008.3417347251</c:v>
                </c:pt>
                <c:pt idx="16">
                  <c:v>6877439.6683483776</c:v>
                </c:pt>
                <c:pt idx="17">
                  <c:v>6780644.2422598312</c:v>
                </c:pt>
                <c:pt idx="18">
                  <c:v>6672023.3308961671</c:v>
                </c:pt>
                <c:pt idx="19">
                  <c:v>6550952.1011387063</c:v>
                </c:pt>
                <c:pt idx="20">
                  <c:v>6416778.5771812638</c:v>
                </c:pt>
                <c:pt idx="21">
                  <c:v>6268822.5586978784</c:v>
                </c:pt>
                <c:pt idx="22">
                  <c:v>6106374.4978504563</c:v>
                </c:pt>
                <c:pt idx="23">
                  <c:v>5928694.3336133286</c:v>
                </c:pt>
                <c:pt idx="24">
                  <c:v>5735010.2818363542</c:v>
                </c:pt>
                <c:pt idx="25">
                  <c:v>5524517.5794108491</c:v>
                </c:pt>
                <c:pt idx="26">
                  <c:v>5296377.1808432071</c:v>
                </c:pt>
                <c:pt idx="27">
                  <c:v>5049714.4054795215</c:v>
                </c:pt>
                <c:pt idx="28">
                  <c:v>4783617.533560778</c:v>
                </c:pt>
                <c:pt idx="29">
                  <c:v>4497136.3492221143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77-416A-8156-451E32925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8443552"/>
        <c:axId val="57845507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Calculations!$M$4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Calculations!$M$5:$M$34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E77-416A-8156-451E32925F20}"/>
                  </c:ext>
                </c:extLst>
              </c15:ser>
            </c15:filteredLineSeries>
          </c:ext>
        </c:extLst>
      </c:lineChart>
      <c:catAx>
        <c:axId val="578443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455072"/>
        <c:crosses val="autoZero"/>
        <c:auto val="1"/>
        <c:lblAlgn val="ctr"/>
        <c:lblOffset val="100"/>
        <c:noMultiLvlLbl val="0"/>
      </c:catAx>
      <c:valAx>
        <c:axId val="57845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44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517920</xdr:colOff>
      <xdr:row>7</xdr:row>
      <xdr:rowOff>51196</xdr:rowOff>
    </xdr:from>
    <xdr:to>
      <xdr:col>28</xdr:col>
      <xdr:colOff>547688</xdr:colOff>
      <xdr:row>34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7B12A4-5CA9-4C2F-80F6-FE214AFB1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553641</xdr:colOff>
      <xdr:row>35</xdr:row>
      <xdr:rowOff>3570</xdr:rowOff>
    </xdr:from>
    <xdr:to>
      <xdr:col>28</xdr:col>
      <xdr:colOff>559594</xdr:colOff>
      <xdr:row>57</xdr:row>
      <xdr:rowOff>107155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C0E580-1A92-4923-93A7-ADA8F1BFD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26dd3a8d7244e87/Alex's%20Stuff/School%20Info%20Current/MECH%20408/Final%20Exam%20Alexandra%20Huston.xlsx" TargetMode="External"/><Relationship Id="rId1" Type="http://schemas.openxmlformats.org/officeDocument/2006/relationships/externalLinkPath" Target="Final%20Exam%20Alexandra%20Hust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blem 1"/>
      <sheetName val="Problem 1 (2)"/>
      <sheetName val="Problem 2"/>
      <sheetName val="Problem 3"/>
      <sheetName val="Problem 4 @RISK"/>
    </sheetNames>
    <sheetDataSet>
      <sheetData sheetId="0">
        <row r="4">
          <cell r="F4" t="str">
            <v>Year</v>
          </cell>
          <cell r="G4" t="str">
            <v>Salary</v>
          </cell>
          <cell r="H4" t="str">
            <v>Savings</v>
          </cell>
          <cell r="I4" t="str">
            <v>Account Balance</v>
          </cell>
          <cell r="M4" t="str">
            <v>Year</v>
          </cell>
          <cell r="N4" t="str">
            <v>Withdrawl</v>
          </cell>
          <cell r="O4" t="str">
            <v>Account Balance</v>
          </cell>
        </row>
        <row r="5">
          <cell r="F5">
            <v>0</v>
          </cell>
          <cell r="G5">
            <v>66000</v>
          </cell>
          <cell r="H5">
            <v>21149.933204399567</v>
          </cell>
          <cell r="I5">
            <v>0</v>
          </cell>
          <cell r="M5">
            <v>1</v>
          </cell>
          <cell r="N5">
            <v>221807.15301067347</v>
          </cell>
          <cell r="O5">
            <v>7237333.4528766926</v>
          </cell>
        </row>
        <row r="6">
          <cell r="F6">
            <v>1</v>
          </cell>
          <cell r="G6">
            <v>68640</v>
          </cell>
          <cell r="H6">
            <v>21995.930532575549</v>
          </cell>
          <cell r="I6">
            <v>21995.930532575549</v>
          </cell>
          <cell r="M6">
            <v>2</v>
          </cell>
          <cell r="N6">
            <v>227352.33183594028</v>
          </cell>
          <cell r="O6">
            <v>7263287.7918914361</v>
          </cell>
        </row>
        <row r="7">
          <cell r="F7">
            <v>2</v>
          </cell>
          <cell r="G7">
            <v>71385.600000000006</v>
          </cell>
          <cell r="H7">
            <v>22875.767753878572</v>
          </cell>
          <cell r="I7">
            <v>46411.413423734411</v>
          </cell>
          <cell r="M7">
            <v>3</v>
          </cell>
          <cell r="N7">
            <v>233036.14013183879</v>
          </cell>
          <cell r="O7">
            <v>7284466.7244757973</v>
          </cell>
        </row>
        <row r="8">
          <cell r="F8">
            <v>3</v>
          </cell>
          <cell r="G8">
            <v>74241.024000000005</v>
          </cell>
          <cell r="H8">
            <v>23790.798464033716</v>
          </cell>
          <cell r="I8">
            <v>73451.010827429534</v>
          </cell>
          <cell r="M8">
            <v>4</v>
          </cell>
          <cell r="N8">
            <v>238862.04363513476</v>
          </cell>
          <cell r="O8">
            <v>7300561.0161973154</v>
          </cell>
        </row>
        <row r="9">
          <cell r="F9">
            <v>4</v>
          </cell>
          <cell r="G9">
            <v>77210.664960000009</v>
          </cell>
          <cell r="H9">
            <v>24742.430402595066</v>
          </cell>
          <cell r="I9">
            <v>103335.01198794467</v>
          </cell>
          <cell r="M9">
            <v>5</v>
          </cell>
          <cell r="N9">
            <v>244833.59472601311</v>
          </cell>
          <cell r="O9">
            <v>7311247.0570382075</v>
          </cell>
        </row>
        <row r="10">
          <cell r="F10">
            <v>5</v>
          </cell>
          <cell r="G10">
            <v>80299.091558400018</v>
          </cell>
          <cell r="H10">
            <v>25732.127618698873</v>
          </cell>
          <cell r="I10">
            <v>136300.59044579969</v>
          </cell>
          <cell r="M10">
            <v>6</v>
          </cell>
          <cell r="N10">
            <v>250954.43459416341</v>
          </cell>
          <cell r="O10">
            <v>7316186.2694403809</v>
          </cell>
        </row>
        <row r="11">
          <cell r="F11">
            <v>6</v>
          </cell>
          <cell r="G11">
            <v>83511.055220736016</v>
          </cell>
          <cell r="H11">
            <v>26761.412723446825</v>
          </cell>
          <cell r="I11">
            <v>172603.0445004525</v>
          </cell>
          <cell r="M11">
            <v>7</v>
          </cell>
          <cell r="N11">
            <v>257228.29545901748</v>
          </cell>
          <cell r="O11">
            <v>7315024.4934117766</v>
          </cell>
        </row>
        <row r="12">
          <cell r="F12">
            <v>7</v>
          </cell>
          <cell r="G12">
            <v>86851.497429565454</v>
          </cell>
          <cell r="H12">
            <v>27831.869232384699</v>
          </cell>
          <cell r="I12">
            <v>212517.12684786887</v>
          </cell>
          <cell r="M12">
            <v>8</v>
          </cell>
          <cell r="N12">
            <v>263659.00284549291</v>
          </cell>
          <cell r="O12">
            <v>7307391.3478356954</v>
          </cell>
        </row>
        <row r="13">
          <cell r="F13">
            <v>8</v>
          </cell>
          <cell r="G13">
            <v>90325.55732674808</v>
          </cell>
          <cell r="H13">
            <v>28945.144001680088</v>
          </cell>
          <cell r="I13">
            <v>256338.46972889977</v>
          </cell>
          <cell r="M13">
            <v>9</v>
          </cell>
          <cell r="N13">
            <v>270250.47791663022</v>
          </cell>
          <cell r="O13">
            <v>7292899.5670933146</v>
          </cell>
        </row>
        <row r="14">
          <cell r="F14">
            <v>9</v>
          </cell>
          <cell r="G14">
            <v>93938.579619818003</v>
          </cell>
          <cell r="H14">
            <v>30102.949761747292</v>
          </cell>
          <cell r="I14">
            <v>304385.11237167002</v>
          </cell>
          <cell r="M14">
            <v>10</v>
          </cell>
          <cell r="N14">
            <v>277006.73986454593</v>
          </cell>
          <cell r="O14">
            <v>7271144.3120770343</v>
          </cell>
        </row>
        <row r="15">
          <cell r="F15">
            <v>10</v>
          </cell>
          <cell r="G15">
            <v>97696.122804610728</v>
          </cell>
          <cell r="H15">
            <v>31307.067752217186</v>
          </cell>
          <cell r="I15">
            <v>356999.13798990409</v>
          </cell>
          <cell r="M15">
            <v>11</v>
          </cell>
          <cell r="N15">
            <v>283931.90836115956</v>
          </cell>
          <cell r="O15">
            <v>7241702.4546385705</v>
          </cell>
        </row>
        <row r="16">
          <cell r="F16">
            <v>11</v>
          </cell>
          <cell r="G16">
            <v>101603.96771679516</v>
          </cell>
          <cell r="H16">
            <v>32559.350462305872</v>
          </cell>
          <cell r="I16">
            <v>414548.42811150331</v>
          </cell>
          <cell r="M16">
            <v>12</v>
          </cell>
          <cell r="N16">
            <v>291030.20607018855</v>
          </cell>
          <cell r="O16">
            <v>7204131.8344807317</v>
          </cell>
        </row>
        <row r="17">
          <cell r="F17">
            <v>12</v>
          </cell>
          <cell r="G17">
            <v>105668.12642546697</v>
          </cell>
          <cell r="H17">
            <v>33861.724480798104</v>
          </cell>
          <cell r="I17">
            <v>477428.54256010667</v>
          </cell>
          <cell r="M17">
            <v>13</v>
          </cell>
          <cell r="N17">
            <v>298305.96122194326</v>
          </cell>
          <cell r="O17">
            <v>7157970.4874656135</v>
          </cell>
        </row>
        <row r="18">
          <cell r="F18">
            <v>13</v>
          </cell>
          <cell r="G18">
            <v>109894.85148248565</v>
          </cell>
          <cell r="H18">
            <v>35216.193460030037</v>
          </cell>
          <cell r="I18">
            <v>546064.73399934417</v>
          </cell>
          <cell r="M18">
            <v>14</v>
          </cell>
          <cell r="N18">
            <v>305763.61025249184</v>
          </cell>
          <cell r="O18">
            <v>7102735.8442744175</v>
          </cell>
        </row>
        <row r="19">
          <cell r="F19">
            <v>14</v>
          </cell>
          <cell r="G19">
            <v>114290.64554178508</v>
          </cell>
          <cell r="H19">
            <v>36624.841198431233</v>
          </cell>
          <cell r="I19">
            <v>620914.10657772946</v>
          </cell>
          <cell r="M19">
            <v>15</v>
          </cell>
          <cell r="N19">
            <v>313407.70050880406</v>
          </cell>
          <cell r="O19">
            <v>7037923.8983152173</v>
          </cell>
        </row>
        <row r="20">
          <cell r="F20">
            <v>15</v>
          </cell>
          <cell r="G20">
            <v>118862.27136345649</v>
          </cell>
          <cell r="H20">
            <v>38089.834846368489</v>
          </cell>
          <cell r="I20">
            <v>702467.92888453905</v>
          </cell>
          <cell r="M20">
            <v>16</v>
          </cell>
          <cell r="N20">
            <v>321242.89302152424</v>
          </cell>
          <cell r="O20">
            <v>6963008.3417347251</v>
          </cell>
        </row>
        <row r="21">
          <cell r="F21">
            <v>16</v>
          </cell>
          <cell r="G21">
            <v>123616.76221799475</v>
          </cell>
          <cell r="H21">
            <v>39613.428240223227</v>
          </cell>
          <cell r="I21">
            <v>791254.11214668001</v>
          </cell>
          <cell r="M21">
            <v>17</v>
          </cell>
          <cell r="N21">
            <v>329273.96534706233</v>
          </cell>
          <cell r="O21">
            <v>6877439.6683483776</v>
          </cell>
        </row>
        <row r="22">
          <cell r="F22">
            <v>17</v>
          </cell>
          <cell r="G22">
            <v>128561.43270671455</v>
          </cell>
          <cell r="H22">
            <v>41197.965369832164</v>
          </cell>
          <cell r="I22">
            <v>887839.86536677973</v>
          </cell>
          <cell r="M22">
            <v>18</v>
          </cell>
          <cell r="N22">
            <v>337505.81448073883</v>
          </cell>
          <cell r="O22">
            <v>6780644.2422598312</v>
          </cell>
        </row>
        <row r="23">
          <cell r="F23">
            <v>18</v>
          </cell>
          <cell r="G23">
            <v>133703.89001498313</v>
          </cell>
          <cell r="H23">
            <v>42845.883984625449</v>
          </cell>
          <cell r="I23">
            <v>992834.53992707981</v>
          </cell>
          <cell r="M23">
            <v>19</v>
          </cell>
          <cell r="N23">
            <v>345943.45984275732</v>
          </cell>
          <cell r="O23">
            <v>6672023.3308961671</v>
          </cell>
        </row>
        <row r="24">
          <cell r="F24">
            <v>19</v>
          </cell>
          <cell r="G24">
            <v>139052.04561558246</v>
          </cell>
          <cell r="H24">
            <v>44559.719344010467</v>
          </cell>
          <cell r="I24">
            <v>1106892.677065986</v>
          </cell>
          <cell r="M24">
            <v>20</v>
          </cell>
          <cell r="N24">
            <v>354592.04633882624</v>
          </cell>
          <cell r="O24">
            <v>6550952.1011387063</v>
          </cell>
        </row>
        <row r="25">
          <cell r="F25">
            <v>20</v>
          </cell>
          <cell r="G25">
            <v>144614.12744020578</v>
          </cell>
          <cell r="H25">
            <v>46342.108117770891</v>
          </cell>
          <cell r="I25">
            <v>1230717.2725783759</v>
          </cell>
          <cell r="M25">
            <v>21</v>
          </cell>
          <cell r="N25">
            <v>363456.84749729687</v>
          </cell>
          <cell r="O25">
            <v>6416778.5771812638</v>
          </cell>
        </row>
        <row r="26">
          <cell r="F26">
            <v>21</v>
          </cell>
          <cell r="G26">
            <v>150398.692537814</v>
          </cell>
          <cell r="H26">
            <v>48195.792442481725</v>
          </cell>
          <cell r="I26">
            <v>1365063.2741013439</v>
          </cell>
          <cell r="M26">
            <v>22</v>
          </cell>
          <cell r="N26">
            <v>372543.26868472924</v>
          </cell>
          <cell r="O26">
            <v>6268822.5586978784</v>
          </cell>
        </row>
        <row r="27">
          <cell r="F27">
            <v>22</v>
          </cell>
          <cell r="G27">
            <v>156414.64023932657</v>
          </cell>
          <cell r="H27">
            <v>50123.624140180997</v>
          </cell>
          <cell r="I27">
            <v>1510741.3274286189</v>
          </cell>
          <cell r="M27">
            <v>23</v>
          </cell>
          <cell r="N27">
            <v>381856.85040184745</v>
          </cell>
          <cell r="O27">
            <v>6106374.4978504563</v>
          </cell>
        </row>
        <row r="28">
          <cell r="F28">
            <v>23</v>
          </cell>
          <cell r="G28">
            <v>162671.22584889963</v>
          </cell>
          <cell r="H28">
            <v>52128.569105788236</v>
          </cell>
          <cell r="I28">
            <v>1668621.7894544106</v>
          </cell>
          <cell r="M28">
            <v>24</v>
          </cell>
          <cell r="N28">
            <v>391403.27166189364</v>
          </cell>
          <cell r="O28">
            <v>5928694.3336133286</v>
          </cell>
        </row>
        <row r="29">
          <cell r="F29">
            <v>24</v>
          </cell>
          <cell r="G29">
            <v>169178.07488285561</v>
          </cell>
          <cell r="H29">
            <v>54213.711870019761</v>
          </cell>
          <cell r="I29">
            <v>1839639.0265862392</v>
          </cell>
          <cell r="M29">
            <v>25</v>
          </cell>
          <cell r="N29">
            <v>401188.353453441</v>
          </cell>
          <cell r="O29">
            <v>5735010.2818363542</v>
          </cell>
        </row>
        <row r="30">
          <cell r="F30">
            <v>25</v>
          </cell>
          <cell r="G30">
            <v>175945.19787816983</v>
          </cell>
          <cell r="H30">
            <v>56382.260344820548</v>
          </cell>
          <cell r="I30">
            <v>2024796.0187920968</v>
          </cell>
          <cell r="M30">
            <v>26</v>
          </cell>
          <cell r="N30">
            <v>411218.06228977692</v>
          </cell>
          <cell r="O30">
            <v>5524517.5794108491</v>
          </cell>
        </row>
        <row r="31">
          <cell r="F31">
            <v>26</v>
          </cell>
          <cell r="G31">
            <v>182983.00579329662</v>
          </cell>
          <cell r="H31">
            <v>58637.550758613368</v>
          </cell>
          <cell r="I31">
            <v>2225169.290866157</v>
          </cell>
          <cell r="M31">
            <v>27</v>
          </cell>
          <cell r="N31">
            <v>421498.51384702133</v>
          </cell>
          <cell r="O31">
            <v>5296377.1808432071</v>
          </cell>
        </row>
        <row r="32">
          <cell r="F32">
            <v>27</v>
          </cell>
          <cell r="G32">
            <v>190302.32602502848</v>
          </cell>
          <cell r="H32">
            <v>60983.052788957903</v>
          </cell>
          <cell r="I32">
            <v>2441914.194015746</v>
          </cell>
          <cell r="M32">
            <v>28</v>
          </cell>
          <cell r="N32">
            <v>432035.97669319686</v>
          </cell>
          <cell r="O32">
            <v>5049714.4054795215</v>
          </cell>
        </row>
        <row r="33">
          <cell r="F33">
            <v>28</v>
          </cell>
          <cell r="G33">
            <v>197914.41906602963</v>
          </cell>
          <cell r="H33">
            <v>63422.374900516224</v>
          </cell>
          <cell r="I33">
            <v>2676270.5624973644</v>
          </cell>
          <cell r="M33">
            <v>29</v>
          </cell>
          <cell r="N33">
            <v>442836.87611052673</v>
          </cell>
          <cell r="O33">
            <v>4783617.533560778</v>
          </cell>
        </row>
        <row r="34">
          <cell r="F34">
            <v>29</v>
          </cell>
          <cell r="G34">
            <v>205830.99582867083</v>
          </cell>
          <cell r="H34">
            <v>65959.269896536876</v>
          </cell>
          <cell r="I34">
            <v>2929568.7717687171</v>
          </cell>
          <cell r="M34">
            <v>30</v>
          </cell>
          <cell r="N34">
            <v>453907.79801328992</v>
          </cell>
          <cell r="O34">
            <v>4497136.3492221143</v>
          </cell>
        </row>
        <row r="35">
          <cell r="F35">
            <v>30</v>
          </cell>
          <cell r="G35">
            <v>214064.23566181766</v>
          </cell>
          <cell r="H35">
            <v>68597.640692398345</v>
          </cell>
          <cell r="I35">
            <v>3203236.226484926</v>
          </cell>
        </row>
        <row r="36">
          <cell r="F36">
            <v>31</v>
          </cell>
          <cell r="G36">
            <v>222626.80508829036</v>
          </cell>
          <cell r="H36">
            <v>71341.54632009429</v>
          </cell>
          <cell r="I36">
            <v>3498804.3086589654</v>
          </cell>
        </row>
        <row r="37">
          <cell r="F37">
            <v>32</v>
          </cell>
          <cell r="G37">
            <v>231531.87729182199</v>
          </cell>
          <cell r="H37">
            <v>74195.208172898056</v>
          </cell>
          <cell r="I37">
            <v>3817915.8184379917</v>
          </cell>
        </row>
        <row r="38">
          <cell r="F38">
            <v>33</v>
          </cell>
          <cell r="G38">
            <v>240793.15238349489</v>
          </cell>
          <cell r="H38">
            <v>77163.016499813995</v>
          </cell>
          <cell r="I38">
            <v>4162332.9422284653</v>
          </cell>
        </row>
        <row r="39">
          <cell r="F39">
            <v>34</v>
          </cell>
          <cell r="G39">
            <v>250424.8784788347</v>
          </cell>
          <cell r="H39">
            <v>80249.537159806554</v>
          </cell>
          <cell r="I39">
            <v>4533945.7853442645</v>
          </cell>
        </row>
        <row r="40">
          <cell r="F40">
            <v>35</v>
          </cell>
          <cell r="G40">
            <v>260441.87361798808</v>
          </cell>
          <cell r="H40">
            <v>83459.51864619882</v>
          </cell>
          <cell r="I40">
            <v>4934781.5089645628</v>
          </cell>
        </row>
        <row r="41">
          <cell r="F41">
            <v>36</v>
          </cell>
          <cell r="G41">
            <v>270859.54856270761</v>
          </cell>
          <cell r="H41">
            <v>86797.899392046762</v>
          </cell>
          <cell r="I41">
            <v>5367014.1139841294</v>
          </cell>
        </row>
        <row r="42">
          <cell r="F42">
            <v>37</v>
          </cell>
          <cell r="G42">
            <v>281693.93050521595</v>
          </cell>
          <cell r="H42">
            <v>90269.815367728646</v>
          </cell>
          <cell r="I42">
            <v>5832974.9173307475</v>
          </cell>
        </row>
        <row r="43">
          <cell r="F43">
            <v>38</v>
          </cell>
          <cell r="G43">
            <v>292961.68772542459</v>
          </cell>
          <cell r="H43">
            <v>93880.607982437796</v>
          </cell>
          <cell r="I43">
            <v>6335163.7695263382</v>
          </cell>
        </row>
        <row r="44">
          <cell r="F44">
            <v>39</v>
          </cell>
          <cell r="G44">
            <v>304680.15523444157</v>
          </cell>
          <cell r="H44">
            <v>97635.83230173531</v>
          </cell>
          <cell r="I44">
            <v>6876261.065694917</v>
          </cell>
        </row>
        <row r="45">
          <cell r="F45">
            <v>40</v>
          </cell>
          <cell r="G45">
            <v>316867.36144381925</v>
          </cell>
          <cell r="H45">
            <v>101541.26559380472</v>
          </cell>
          <cell r="I45">
            <v>7459140.6058873665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workbookViewId="0">
      <selection activeCell="D28" sqref="D28"/>
    </sheetView>
  </sheetViews>
  <sheetFormatPr defaultRowHeight="14.25" x14ac:dyDescent="0.45"/>
  <sheetData>
    <row r="1" spans="1:1" x14ac:dyDescent="0.45">
      <c r="A1">
        <v>1</v>
      </c>
    </row>
    <row r="2" spans="1:1" ht="15.75" x14ac:dyDescent="0.45">
      <c r="A2" s="12" t="s">
        <v>51</v>
      </c>
    </row>
    <row r="3" spans="1:1" ht="15.75" x14ac:dyDescent="0.45">
      <c r="A3" s="12" t="s">
        <v>25</v>
      </c>
    </row>
    <row r="4" spans="1:1" ht="15.75" x14ac:dyDescent="0.45">
      <c r="A4" s="12" t="s">
        <v>26</v>
      </c>
    </row>
    <row r="5" spans="1:1" ht="15.75" x14ac:dyDescent="0.45">
      <c r="A5" s="12" t="s">
        <v>27</v>
      </c>
    </row>
    <row r="6" spans="1:1" ht="15.75" x14ac:dyDescent="0.45">
      <c r="A6" s="12" t="s">
        <v>28</v>
      </c>
    </row>
    <row r="7" spans="1:1" ht="15.75" x14ac:dyDescent="0.45">
      <c r="A7" s="12" t="s">
        <v>29</v>
      </c>
    </row>
    <row r="8" spans="1:1" ht="15.75" x14ac:dyDescent="0.45">
      <c r="A8" s="12" t="s">
        <v>30</v>
      </c>
    </row>
    <row r="9" spans="1:1" ht="15.75" x14ac:dyDescent="0.45">
      <c r="A9" s="12" t="s">
        <v>31</v>
      </c>
    </row>
    <row r="10" spans="1:1" ht="15.75" x14ac:dyDescent="0.45">
      <c r="A10" s="12" t="s">
        <v>32</v>
      </c>
    </row>
    <row r="11" spans="1:1" ht="15.75" x14ac:dyDescent="0.45">
      <c r="A11" s="12" t="s">
        <v>33</v>
      </c>
    </row>
    <row r="12" spans="1:1" ht="15.75" x14ac:dyDescent="0.45">
      <c r="A12" s="12">
        <v>2</v>
      </c>
    </row>
    <row r="13" spans="1:1" ht="15.75" x14ac:dyDescent="0.45">
      <c r="A13" s="12" t="s">
        <v>34</v>
      </c>
    </row>
    <row r="14" spans="1:1" ht="15.75" x14ac:dyDescent="0.45">
      <c r="A14" s="12" t="s">
        <v>35</v>
      </c>
    </row>
    <row r="15" spans="1:1" ht="15.75" x14ac:dyDescent="0.45">
      <c r="A15" s="12" t="s">
        <v>36</v>
      </c>
    </row>
    <row r="16" spans="1:1" ht="15.75" x14ac:dyDescent="0.45">
      <c r="A16" s="12" t="s">
        <v>37</v>
      </c>
    </row>
    <row r="17" spans="1:1" ht="15.75" x14ac:dyDescent="0.45">
      <c r="A17" s="12" t="s">
        <v>38</v>
      </c>
    </row>
    <row r="18" spans="1:1" ht="15.75" x14ac:dyDescent="0.45">
      <c r="A18" s="12" t="s">
        <v>39</v>
      </c>
    </row>
    <row r="19" spans="1:1" ht="15.75" x14ac:dyDescent="0.45">
      <c r="A19" s="12"/>
    </row>
    <row r="20" spans="1:1" ht="15.75" x14ac:dyDescent="0.45">
      <c r="A20" s="12" t="s">
        <v>40</v>
      </c>
    </row>
    <row r="21" spans="1:1" ht="15.75" x14ac:dyDescent="0.45">
      <c r="A21" s="12" t="s">
        <v>41</v>
      </c>
    </row>
    <row r="22" spans="1:1" ht="15.75" x14ac:dyDescent="0.45">
      <c r="A22" s="12" t="s">
        <v>42</v>
      </c>
    </row>
    <row r="23" spans="1:1" ht="15.75" x14ac:dyDescent="0.45">
      <c r="A23" s="12"/>
    </row>
    <row r="24" spans="1:1" ht="15.75" x14ac:dyDescent="0.45">
      <c r="A24" s="12" t="s">
        <v>43</v>
      </c>
    </row>
    <row r="25" spans="1:1" ht="15.75" x14ac:dyDescent="0.45">
      <c r="A25" s="12" t="s">
        <v>44</v>
      </c>
    </row>
    <row r="26" spans="1:1" ht="15.75" x14ac:dyDescent="0.45">
      <c r="A26" s="12" t="s">
        <v>45</v>
      </c>
    </row>
    <row r="27" spans="1:1" ht="15.75" x14ac:dyDescent="0.45">
      <c r="A27" s="12" t="s">
        <v>46</v>
      </c>
    </row>
    <row r="28" spans="1:1" ht="15.75" x14ac:dyDescent="0.45">
      <c r="A28" s="12" t="s">
        <v>47</v>
      </c>
    </row>
    <row r="29" spans="1:1" ht="15.75" x14ac:dyDescent="0.45">
      <c r="A29" s="12" t="s">
        <v>48</v>
      </c>
    </row>
    <row r="30" spans="1:1" ht="15.75" x14ac:dyDescent="0.45">
      <c r="A30" s="12" t="s">
        <v>49</v>
      </c>
    </row>
    <row r="31" spans="1:1" ht="15.75" x14ac:dyDescent="0.45">
      <c r="A31" s="1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027EF-A0DF-4266-8B18-9E0DB708521E}">
  <dimension ref="B2:U45"/>
  <sheetViews>
    <sheetView tabSelected="1" zoomScale="80" zoomScaleNormal="80" workbookViewId="0">
      <selection activeCell="B34" sqref="B34"/>
    </sheetView>
  </sheetViews>
  <sheetFormatPr defaultRowHeight="14.25" x14ac:dyDescent="0.45"/>
  <cols>
    <col min="1" max="1" width="6.1328125" customWidth="1"/>
    <col min="2" max="2" width="35.59765625" bestFit="1" customWidth="1"/>
    <col min="3" max="3" width="18.265625" style="2" bestFit="1" customWidth="1"/>
    <col min="5" max="5" width="4.86328125" style="2" customWidth="1"/>
    <col min="6" max="6" width="4.86328125" style="2" bestFit="1" customWidth="1"/>
    <col min="7" max="7" width="12.73046875" style="2" bestFit="1" customWidth="1"/>
    <col min="8" max="8" width="19.73046875" style="2" customWidth="1"/>
    <col min="9" max="9" width="17.265625" style="2" bestFit="1" customWidth="1"/>
    <col min="10" max="11" width="9.06640625" style="2"/>
    <col min="12" max="12" width="4.3984375" style="2" bestFit="1" customWidth="1"/>
    <col min="13" max="13" width="4.86328125" style="2" bestFit="1" customWidth="1"/>
    <col min="14" max="14" width="18.3984375" style="2" bestFit="1" customWidth="1"/>
    <col min="15" max="15" width="17.265625" style="2" bestFit="1" customWidth="1"/>
    <col min="16" max="17" width="9.06640625" style="2"/>
    <col min="18" max="18" width="14.3984375" style="2" bestFit="1" customWidth="1"/>
    <col min="19" max="21" width="9.06640625" style="2"/>
  </cols>
  <sheetData>
    <row r="2" spans="2:18" x14ac:dyDescent="0.45">
      <c r="B2" s="1" t="s">
        <v>0</v>
      </c>
      <c r="E2" s="1" t="s">
        <v>1</v>
      </c>
    </row>
    <row r="3" spans="2:18" x14ac:dyDescent="0.45">
      <c r="B3" t="s">
        <v>2</v>
      </c>
      <c r="C3" s="3">
        <v>66000</v>
      </c>
      <c r="E3" s="4" t="s">
        <v>3</v>
      </c>
      <c r="F3" s="4"/>
      <c r="G3" s="4"/>
      <c r="H3" s="4"/>
      <c r="I3" s="4"/>
      <c r="L3" s="4" t="s">
        <v>4</v>
      </c>
      <c r="M3" s="4"/>
      <c r="N3" s="4"/>
      <c r="O3" s="4"/>
    </row>
    <row r="4" spans="2:18" x14ac:dyDescent="0.45">
      <c r="B4" t="s">
        <v>5</v>
      </c>
      <c r="C4" s="5">
        <v>0.04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L4" s="2" t="s">
        <v>6</v>
      </c>
      <c r="M4" s="2" t="s">
        <v>7</v>
      </c>
      <c r="N4" s="2" t="s">
        <v>11</v>
      </c>
      <c r="O4" s="2" t="s">
        <v>10</v>
      </c>
    </row>
    <row r="5" spans="2:18" x14ac:dyDescent="0.45">
      <c r="B5" t="s">
        <v>12</v>
      </c>
      <c r="C5" s="2">
        <v>40</v>
      </c>
      <c r="E5" s="2">
        <v>25</v>
      </c>
      <c r="F5" s="2">
        <v>0</v>
      </c>
      <c r="G5" s="6">
        <f>C3</f>
        <v>66000</v>
      </c>
      <c r="H5" s="7">
        <f>G5*$C$21</f>
        <v>21149.933204399567</v>
      </c>
      <c r="I5" s="7">
        <v>0</v>
      </c>
      <c r="L5" s="2">
        <v>66</v>
      </c>
      <c r="M5" s="2">
        <v>1</v>
      </c>
      <c r="N5" s="6">
        <f>G45*C10</f>
        <v>221807.15301067347</v>
      </c>
      <c r="O5" s="6">
        <f>I45-N5</f>
        <v>7237333.4528766926</v>
      </c>
    </row>
    <row r="6" spans="2:18" x14ac:dyDescent="0.45">
      <c r="B6" t="s">
        <v>13</v>
      </c>
      <c r="C6" s="5">
        <v>7.0000000000000007E-2</v>
      </c>
      <c r="E6" s="2">
        <v>26</v>
      </c>
      <c r="F6" s="2">
        <v>1</v>
      </c>
      <c r="G6" s="6">
        <f>G5*(1+$C$4)</f>
        <v>68640</v>
      </c>
      <c r="H6" s="7">
        <f t="shared" ref="H6:H45" si="0">G6*$C$21</f>
        <v>21995.930532575549</v>
      </c>
      <c r="I6" s="7">
        <f>(I5*(1+$C$6))+H6</f>
        <v>21995.930532575549</v>
      </c>
      <c r="L6" s="2">
        <v>67</v>
      </c>
      <c r="M6" s="2">
        <v>2</v>
      </c>
      <c r="N6" s="6">
        <f t="shared" ref="N6:N34" si="1">$G$45*$C$10*(1+$C$11)^M5</f>
        <v>227352.33183594028</v>
      </c>
      <c r="O6" s="6">
        <f t="shared" ref="O6:O34" si="2">(O5*(1+$C$12))-N6</f>
        <v>7263287.7918914361</v>
      </c>
    </row>
    <row r="7" spans="2:18" x14ac:dyDescent="0.45">
      <c r="E7" s="2">
        <v>27</v>
      </c>
      <c r="F7" s="2">
        <v>2</v>
      </c>
      <c r="G7" s="6">
        <f t="shared" ref="G7:G45" si="3">G6*(1+$C$4)</f>
        <v>71385.600000000006</v>
      </c>
      <c r="H7" s="7">
        <f t="shared" si="0"/>
        <v>22875.767753878572</v>
      </c>
      <c r="I7" s="7">
        <f>(I6*(1+$C$6))+H7</f>
        <v>46411.413423734411</v>
      </c>
      <c r="L7" s="2">
        <v>68</v>
      </c>
      <c r="M7" s="2">
        <v>3</v>
      </c>
      <c r="N7" s="6">
        <f t="shared" si="1"/>
        <v>233036.14013183879</v>
      </c>
      <c r="O7" s="6">
        <f t="shared" si="2"/>
        <v>7284466.7244757973</v>
      </c>
      <c r="R7" s="6"/>
    </row>
    <row r="8" spans="2:18" x14ac:dyDescent="0.45">
      <c r="E8" s="2">
        <v>28</v>
      </c>
      <c r="F8" s="2">
        <v>3</v>
      </c>
      <c r="G8" s="6">
        <f t="shared" si="3"/>
        <v>74241.024000000005</v>
      </c>
      <c r="H8" s="7">
        <f t="shared" si="0"/>
        <v>23790.798464033716</v>
      </c>
      <c r="I8" s="7">
        <f t="shared" ref="I8:I45" si="4">(I7*(1+$C$6))+H8</f>
        <v>73451.010827429534</v>
      </c>
      <c r="L8" s="2">
        <v>69</v>
      </c>
      <c r="M8" s="2">
        <v>4</v>
      </c>
      <c r="N8" s="6">
        <f t="shared" si="1"/>
        <v>238862.04363513476</v>
      </c>
      <c r="O8" s="6">
        <f t="shared" si="2"/>
        <v>7300561.0161973154</v>
      </c>
    </row>
    <row r="9" spans="2:18" x14ac:dyDescent="0.45">
      <c r="B9" t="s">
        <v>14</v>
      </c>
      <c r="C9" s="2">
        <v>30</v>
      </c>
      <c r="E9" s="2">
        <v>29</v>
      </c>
      <c r="F9" s="2">
        <v>4</v>
      </c>
      <c r="G9" s="6">
        <f t="shared" si="3"/>
        <v>77210.664960000009</v>
      </c>
      <c r="H9" s="7">
        <f t="shared" si="0"/>
        <v>24742.430402595066</v>
      </c>
      <c r="I9" s="7">
        <f t="shared" si="4"/>
        <v>103335.01198794467</v>
      </c>
      <c r="L9" s="2">
        <v>70</v>
      </c>
      <c r="M9" s="2">
        <v>5</v>
      </c>
      <c r="N9" s="6">
        <f t="shared" si="1"/>
        <v>244833.59472601311</v>
      </c>
      <c r="O9" s="6">
        <f t="shared" si="2"/>
        <v>7311247.0570382075</v>
      </c>
    </row>
    <row r="10" spans="2:18" x14ac:dyDescent="0.45">
      <c r="B10" t="s">
        <v>15</v>
      </c>
      <c r="C10" s="5">
        <v>0.7</v>
      </c>
      <c r="E10" s="2">
        <v>30</v>
      </c>
      <c r="F10" s="2">
        <v>5</v>
      </c>
      <c r="G10" s="6">
        <f t="shared" si="3"/>
        <v>80299.091558400018</v>
      </c>
      <c r="H10" s="7">
        <f t="shared" si="0"/>
        <v>25732.127618698873</v>
      </c>
      <c r="I10" s="7">
        <f t="shared" si="4"/>
        <v>136300.59044579969</v>
      </c>
      <c r="L10" s="2">
        <v>71</v>
      </c>
      <c r="M10" s="2">
        <v>6</v>
      </c>
      <c r="N10" s="6">
        <f t="shared" si="1"/>
        <v>250954.43459416341</v>
      </c>
      <c r="O10" s="6">
        <f t="shared" si="2"/>
        <v>7316186.2694403809</v>
      </c>
    </row>
    <row r="11" spans="2:18" x14ac:dyDescent="0.45">
      <c r="B11" t="s">
        <v>16</v>
      </c>
      <c r="C11" s="8">
        <v>2.5000000000000001E-2</v>
      </c>
      <c r="E11" s="2">
        <v>31</v>
      </c>
      <c r="F11" s="2">
        <v>6</v>
      </c>
      <c r="G11" s="6">
        <f t="shared" si="3"/>
        <v>83511.055220736016</v>
      </c>
      <c r="H11" s="7">
        <f t="shared" si="0"/>
        <v>26761.412723446825</v>
      </c>
      <c r="I11" s="7">
        <f t="shared" si="4"/>
        <v>172603.0445004525</v>
      </c>
      <c r="L11" s="2">
        <v>72</v>
      </c>
      <c r="M11" s="2">
        <v>7</v>
      </c>
      <c r="N11" s="6">
        <f t="shared" si="1"/>
        <v>257228.29545901748</v>
      </c>
      <c r="O11" s="6">
        <f t="shared" si="2"/>
        <v>7315024.4934117766</v>
      </c>
    </row>
    <row r="12" spans="2:18" x14ac:dyDescent="0.45">
      <c r="B12" t="s">
        <v>17</v>
      </c>
      <c r="C12" s="8">
        <v>3.5000000000000003E-2</v>
      </c>
      <c r="E12" s="2">
        <v>32</v>
      </c>
      <c r="F12" s="2">
        <v>7</v>
      </c>
      <c r="G12" s="6">
        <f t="shared" si="3"/>
        <v>86851.497429565454</v>
      </c>
      <c r="H12" s="7">
        <f t="shared" si="0"/>
        <v>27831.869232384699</v>
      </c>
      <c r="I12" s="7">
        <f t="shared" si="4"/>
        <v>212517.12684786887</v>
      </c>
      <c r="L12" s="2">
        <v>73</v>
      </c>
      <c r="M12" s="2">
        <v>8</v>
      </c>
      <c r="N12" s="6">
        <f t="shared" si="1"/>
        <v>263659.00284549291</v>
      </c>
      <c r="O12" s="6">
        <f t="shared" si="2"/>
        <v>7307391.3478356954</v>
      </c>
    </row>
    <row r="13" spans="2:18" x14ac:dyDescent="0.45">
      <c r="B13" t="s">
        <v>18</v>
      </c>
      <c r="C13" s="2" t="s">
        <v>19</v>
      </c>
      <c r="E13" s="2">
        <v>33</v>
      </c>
      <c r="F13" s="2">
        <v>8</v>
      </c>
      <c r="G13" s="6">
        <f t="shared" si="3"/>
        <v>90325.55732674808</v>
      </c>
      <c r="H13" s="7">
        <f t="shared" si="0"/>
        <v>28945.144001680088</v>
      </c>
      <c r="I13" s="7">
        <f t="shared" si="4"/>
        <v>256338.46972889977</v>
      </c>
      <c r="L13" s="2">
        <v>74</v>
      </c>
      <c r="M13" s="2">
        <v>9</v>
      </c>
      <c r="N13" s="6">
        <f t="shared" si="1"/>
        <v>270250.47791663022</v>
      </c>
      <c r="O13" s="6">
        <f t="shared" si="2"/>
        <v>7292899.5670933146</v>
      </c>
    </row>
    <row r="14" spans="2:18" x14ac:dyDescent="0.45">
      <c r="E14" s="2">
        <v>34</v>
      </c>
      <c r="F14" s="2">
        <v>9</v>
      </c>
      <c r="G14" s="6">
        <f t="shared" si="3"/>
        <v>93938.579619818003</v>
      </c>
      <c r="H14" s="7">
        <f t="shared" si="0"/>
        <v>30102.949761747292</v>
      </c>
      <c r="I14" s="7">
        <f t="shared" si="4"/>
        <v>304385.11237167002</v>
      </c>
      <c r="L14" s="2">
        <v>75</v>
      </c>
      <c r="M14" s="2">
        <v>10</v>
      </c>
      <c r="N14" s="6">
        <f t="shared" si="1"/>
        <v>277006.73986454593</v>
      </c>
      <c r="O14" s="6">
        <f t="shared" si="2"/>
        <v>7271144.3120770343</v>
      </c>
    </row>
    <row r="15" spans="2:18" x14ac:dyDescent="0.45">
      <c r="E15" s="2">
        <v>35</v>
      </c>
      <c r="F15" s="2">
        <v>10</v>
      </c>
      <c r="G15" s="6">
        <f t="shared" si="3"/>
        <v>97696.122804610728</v>
      </c>
      <c r="H15" s="7">
        <f t="shared" si="0"/>
        <v>31307.067752217186</v>
      </c>
      <c r="I15" s="7">
        <f t="shared" si="4"/>
        <v>356999.13798990409</v>
      </c>
      <c r="L15" s="2">
        <v>76</v>
      </c>
      <c r="M15" s="2">
        <v>11</v>
      </c>
      <c r="N15" s="6">
        <f t="shared" si="1"/>
        <v>283931.90836115956</v>
      </c>
      <c r="O15" s="6">
        <f t="shared" si="2"/>
        <v>7241702.4546385705</v>
      </c>
    </row>
    <row r="16" spans="2:18" x14ac:dyDescent="0.45">
      <c r="E16" s="2">
        <v>36</v>
      </c>
      <c r="F16" s="2">
        <v>11</v>
      </c>
      <c r="G16" s="6">
        <f t="shared" si="3"/>
        <v>101603.96771679516</v>
      </c>
      <c r="H16" s="7">
        <f t="shared" si="0"/>
        <v>32559.350462305872</v>
      </c>
      <c r="I16" s="7">
        <f t="shared" si="4"/>
        <v>414548.42811150331</v>
      </c>
      <c r="L16" s="2">
        <v>77</v>
      </c>
      <c r="M16" s="2">
        <v>12</v>
      </c>
      <c r="N16" s="6">
        <f t="shared" si="1"/>
        <v>291030.20607018855</v>
      </c>
      <c r="O16" s="6">
        <f t="shared" si="2"/>
        <v>7204131.8344807317</v>
      </c>
    </row>
    <row r="17" spans="2:18" x14ac:dyDescent="0.45">
      <c r="B17" s="9" t="s">
        <v>20</v>
      </c>
      <c r="C17" s="10">
        <f>C3*(1+C4)^C5</f>
        <v>316867.36144381954</v>
      </c>
      <c r="E17" s="2">
        <v>37</v>
      </c>
      <c r="F17" s="2">
        <v>12</v>
      </c>
      <c r="G17" s="6">
        <f t="shared" si="3"/>
        <v>105668.12642546697</v>
      </c>
      <c r="H17" s="7">
        <f t="shared" si="0"/>
        <v>33861.724480798104</v>
      </c>
      <c r="I17" s="7">
        <f t="shared" si="4"/>
        <v>477428.54256010667</v>
      </c>
      <c r="L17" s="2">
        <v>78</v>
      </c>
      <c r="M17" s="2">
        <v>13</v>
      </c>
      <c r="N17" s="6">
        <f t="shared" si="1"/>
        <v>298305.96122194326</v>
      </c>
      <c r="O17" s="6">
        <f t="shared" si="2"/>
        <v>7157970.4874656135</v>
      </c>
      <c r="R17" s="6"/>
    </row>
    <row r="18" spans="2:18" x14ac:dyDescent="0.45">
      <c r="B18" s="9" t="s">
        <v>21</v>
      </c>
      <c r="C18" s="10">
        <f>C17*C10</f>
        <v>221807.15301067368</v>
      </c>
      <c r="E18" s="2">
        <v>38</v>
      </c>
      <c r="F18" s="2">
        <v>13</v>
      </c>
      <c r="G18" s="6">
        <f t="shared" si="3"/>
        <v>109894.85148248565</v>
      </c>
      <c r="H18" s="7">
        <f t="shared" si="0"/>
        <v>35216.193460030037</v>
      </c>
      <c r="I18" s="7">
        <f t="shared" si="4"/>
        <v>546064.73399934417</v>
      </c>
      <c r="L18" s="2">
        <v>79</v>
      </c>
      <c r="M18" s="2">
        <v>14</v>
      </c>
      <c r="N18" s="6">
        <f t="shared" si="1"/>
        <v>305763.61025249184</v>
      </c>
      <c r="O18" s="6">
        <f t="shared" si="2"/>
        <v>7102735.8442744175</v>
      </c>
    </row>
    <row r="19" spans="2:18" x14ac:dyDescent="0.45">
      <c r="B19" s="9" t="s">
        <v>22</v>
      </c>
      <c r="C19" s="10">
        <f>C18*(1+C12)*(1-(1+C12)^-C9)/C12</f>
        <v>4222269.2838132139</v>
      </c>
      <c r="E19" s="2">
        <v>39</v>
      </c>
      <c r="F19" s="2">
        <v>14</v>
      </c>
      <c r="G19" s="6">
        <f t="shared" si="3"/>
        <v>114290.64554178508</v>
      </c>
      <c r="H19" s="7">
        <f t="shared" si="0"/>
        <v>36624.841198431233</v>
      </c>
      <c r="I19" s="7">
        <f t="shared" si="4"/>
        <v>620914.10657772946</v>
      </c>
      <c r="L19" s="2">
        <v>80</v>
      </c>
      <c r="M19" s="2">
        <v>15</v>
      </c>
      <c r="N19" s="6">
        <f t="shared" si="1"/>
        <v>313407.70050880406</v>
      </c>
      <c r="O19" s="6">
        <f t="shared" si="2"/>
        <v>7037923.8983152173</v>
      </c>
    </row>
    <row r="20" spans="2:18" x14ac:dyDescent="0.45">
      <c r="B20" s="9" t="s">
        <v>23</v>
      </c>
      <c r="C20" s="10">
        <f>C19*C6/((1.07^C5)-1)</f>
        <v>21149.933204399567</v>
      </c>
      <c r="E20" s="2">
        <v>40</v>
      </c>
      <c r="F20" s="2">
        <v>15</v>
      </c>
      <c r="G20" s="6">
        <f t="shared" si="3"/>
        <v>118862.27136345649</v>
      </c>
      <c r="H20" s="7">
        <f t="shared" si="0"/>
        <v>38089.834846368489</v>
      </c>
      <c r="I20" s="7">
        <f t="shared" si="4"/>
        <v>702467.92888453905</v>
      </c>
      <c r="L20" s="2">
        <v>81</v>
      </c>
      <c r="M20" s="2">
        <v>16</v>
      </c>
      <c r="N20" s="6">
        <f t="shared" si="1"/>
        <v>321242.89302152424</v>
      </c>
      <c r="O20" s="6">
        <f t="shared" si="2"/>
        <v>6963008.3417347251</v>
      </c>
    </row>
    <row r="21" spans="2:18" x14ac:dyDescent="0.45">
      <c r="B21" s="9" t="s">
        <v>24</v>
      </c>
      <c r="C21" s="11">
        <f>C20/C3</f>
        <v>0.32045353339999344</v>
      </c>
      <c r="E21" s="2">
        <v>41</v>
      </c>
      <c r="F21" s="2">
        <v>16</v>
      </c>
      <c r="G21" s="6">
        <f t="shared" si="3"/>
        <v>123616.76221799475</v>
      </c>
      <c r="H21" s="7">
        <f t="shared" si="0"/>
        <v>39613.428240223227</v>
      </c>
      <c r="I21" s="7">
        <f t="shared" si="4"/>
        <v>791254.11214668001</v>
      </c>
      <c r="L21" s="2">
        <v>82</v>
      </c>
      <c r="M21" s="2">
        <v>17</v>
      </c>
      <c r="N21" s="6">
        <f t="shared" si="1"/>
        <v>329273.96534706233</v>
      </c>
      <c r="O21" s="6">
        <f t="shared" si="2"/>
        <v>6877439.6683483776</v>
      </c>
    </row>
    <row r="22" spans="2:18" x14ac:dyDescent="0.45">
      <c r="E22" s="2">
        <v>42</v>
      </c>
      <c r="F22" s="2">
        <v>17</v>
      </c>
      <c r="G22" s="6">
        <f t="shared" si="3"/>
        <v>128561.43270671455</v>
      </c>
      <c r="H22" s="7">
        <f t="shared" si="0"/>
        <v>41197.965369832164</v>
      </c>
      <c r="I22" s="7">
        <f t="shared" si="4"/>
        <v>887839.86536677973</v>
      </c>
      <c r="L22" s="2">
        <v>83</v>
      </c>
      <c r="M22" s="2">
        <v>18</v>
      </c>
      <c r="N22" s="6">
        <f t="shared" si="1"/>
        <v>337505.81448073883</v>
      </c>
      <c r="O22" s="6">
        <f t="shared" si="2"/>
        <v>6780644.2422598312</v>
      </c>
    </row>
    <row r="23" spans="2:18" x14ac:dyDescent="0.45">
      <c r="E23" s="2">
        <v>43</v>
      </c>
      <c r="F23" s="2">
        <v>18</v>
      </c>
      <c r="G23" s="6">
        <f t="shared" si="3"/>
        <v>133703.89001498313</v>
      </c>
      <c r="H23" s="7">
        <f t="shared" si="0"/>
        <v>42845.883984625449</v>
      </c>
      <c r="I23" s="7">
        <f t="shared" si="4"/>
        <v>992834.53992707981</v>
      </c>
      <c r="L23" s="2">
        <v>84</v>
      </c>
      <c r="M23" s="2">
        <v>19</v>
      </c>
      <c r="N23" s="6">
        <f t="shared" si="1"/>
        <v>345943.45984275732</v>
      </c>
      <c r="O23" s="6">
        <f t="shared" si="2"/>
        <v>6672023.3308961671</v>
      </c>
    </row>
    <row r="24" spans="2:18" x14ac:dyDescent="0.45">
      <c r="E24" s="2">
        <v>44</v>
      </c>
      <c r="F24" s="2">
        <v>19</v>
      </c>
      <c r="G24" s="6">
        <f t="shared" si="3"/>
        <v>139052.04561558246</v>
      </c>
      <c r="H24" s="7">
        <f t="shared" si="0"/>
        <v>44559.719344010467</v>
      </c>
      <c r="I24" s="7">
        <f t="shared" si="4"/>
        <v>1106892.677065986</v>
      </c>
      <c r="L24" s="2">
        <v>85</v>
      </c>
      <c r="M24" s="2">
        <v>20</v>
      </c>
      <c r="N24" s="6">
        <f t="shared" si="1"/>
        <v>354592.04633882624</v>
      </c>
      <c r="O24" s="6">
        <f t="shared" si="2"/>
        <v>6550952.1011387063</v>
      </c>
    </row>
    <row r="25" spans="2:18" x14ac:dyDescent="0.45">
      <c r="E25" s="2">
        <v>45</v>
      </c>
      <c r="F25" s="2">
        <v>20</v>
      </c>
      <c r="G25" s="6">
        <f t="shared" si="3"/>
        <v>144614.12744020578</v>
      </c>
      <c r="H25" s="7">
        <f t="shared" si="0"/>
        <v>46342.108117770891</v>
      </c>
      <c r="I25" s="7">
        <f t="shared" si="4"/>
        <v>1230717.2725783759</v>
      </c>
      <c r="L25" s="2">
        <v>86</v>
      </c>
      <c r="M25" s="2">
        <v>21</v>
      </c>
      <c r="N25" s="6">
        <f t="shared" si="1"/>
        <v>363456.84749729687</v>
      </c>
      <c r="O25" s="6">
        <f t="shared" si="2"/>
        <v>6416778.5771812638</v>
      </c>
    </row>
    <row r="26" spans="2:18" x14ac:dyDescent="0.45">
      <c r="E26" s="2">
        <v>46</v>
      </c>
      <c r="F26" s="2">
        <v>21</v>
      </c>
      <c r="G26" s="6">
        <f t="shared" si="3"/>
        <v>150398.692537814</v>
      </c>
      <c r="H26" s="7">
        <f t="shared" si="0"/>
        <v>48195.792442481725</v>
      </c>
      <c r="I26" s="7">
        <f t="shared" si="4"/>
        <v>1365063.2741013439</v>
      </c>
      <c r="L26" s="2">
        <v>87</v>
      </c>
      <c r="M26" s="2">
        <v>22</v>
      </c>
      <c r="N26" s="6">
        <f t="shared" si="1"/>
        <v>372543.26868472924</v>
      </c>
      <c r="O26" s="6">
        <f t="shared" si="2"/>
        <v>6268822.5586978784</v>
      </c>
    </row>
    <row r="27" spans="2:18" x14ac:dyDescent="0.45">
      <c r="E27" s="2">
        <v>47</v>
      </c>
      <c r="F27" s="2">
        <v>22</v>
      </c>
      <c r="G27" s="6">
        <f t="shared" si="3"/>
        <v>156414.64023932657</v>
      </c>
      <c r="H27" s="7">
        <f t="shared" si="0"/>
        <v>50123.624140180997</v>
      </c>
      <c r="I27" s="7">
        <f t="shared" si="4"/>
        <v>1510741.3274286189</v>
      </c>
      <c r="L27" s="2">
        <v>88</v>
      </c>
      <c r="M27" s="2">
        <v>23</v>
      </c>
      <c r="N27" s="6">
        <f t="shared" si="1"/>
        <v>381856.85040184745</v>
      </c>
      <c r="O27" s="6">
        <f t="shared" si="2"/>
        <v>6106374.4978504563</v>
      </c>
    </row>
    <row r="28" spans="2:18" x14ac:dyDescent="0.45">
      <c r="E28" s="2">
        <v>48</v>
      </c>
      <c r="F28" s="2">
        <v>23</v>
      </c>
      <c r="G28" s="6">
        <f t="shared" si="3"/>
        <v>162671.22584889963</v>
      </c>
      <c r="H28" s="7">
        <f t="shared" si="0"/>
        <v>52128.569105788236</v>
      </c>
      <c r="I28" s="7">
        <f t="shared" si="4"/>
        <v>1668621.7894544106</v>
      </c>
      <c r="L28" s="2">
        <v>89</v>
      </c>
      <c r="M28" s="2">
        <v>24</v>
      </c>
      <c r="N28" s="6">
        <f t="shared" si="1"/>
        <v>391403.27166189364</v>
      </c>
      <c r="O28" s="6">
        <f t="shared" si="2"/>
        <v>5928694.3336133286</v>
      </c>
    </row>
    <row r="29" spans="2:18" x14ac:dyDescent="0.45">
      <c r="E29" s="2">
        <v>49</v>
      </c>
      <c r="F29" s="2">
        <v>24</v>
      </c>
      <c r="G29" s="6">
        <f t="shared" si="3"/>
        <v>169178.07488285561</v>
      </c>
      <c r="H29" s="7">
        <f t="shared" si="0"/>
        <v>54213.711870019761</v>
      </c>
      <c r="I29" s="7">
        <f t="shared" si="4"/>
        <v>1839639.0265862392</v>
      </c>
      <c r="L29" s="2">
        <v>90</v>
      </c>
      <c r="M29" s="2">
        <v>25</v>
      </c>
      <c r="N29" s="6">
        <f t="shared" si="1"/>
        <v>401188.353453441</v>
      </c>
      <c r="O29" s="6">
        <f t="shared" si="2"/>
        <v>5735010.2818363542</v>
      </c>
    </row>
    <row r="30" spans="2:18" x14ac:dyDescent="0.45">
      <c r="E30" s="2">
        <v>50</v>
      </c>
      <c r="F30" s="2">
        <v>25</v>
      </c>
      <c r="G30" s="6">
        <f t="shared" si="3"/>
        <v>175945.19787816983</v>
      </c>
      <c r="H30" s="7">
        <f t="shared" si="0"/>
        <v>56382.260344820548</v>
      </c>
      <c r="I30" s="7">
        <f t="shared" si="4"/>
        <v>2024796.0187920968</v>
      </c>
      <c r="L30" s="2">
        <v>91</v>
      </c>
      <c r="M30" s="2">
        <v>26</v>
      </c>
      <c r="N30" s="6">
        <f t="shared" si="1"/>
        <v>411218.06228977692</v>
      </c>
      <c r="O30" s="6">
        <f t="shared" si="2"/>
        <v>5524517.5794108491</v>
      </c>
    </row>
    <row r="31" spans="2:18" x14ac:dyDescent="0.45">
      <c r="E31" s="2">
        <v>51</v>
      </c>
      <c r="F31" s="2">
        <v>26</v>
      </c>
      <c r="G31" s="6">
        <f t="shared" si="3"/>
        <v>182983.00579329662</v>
      </c>
      <c r="H31" s="7">
        <f t="shared" si="0"/>
        <v>58637.550758613368</v>
      </c>
      <c r="I31" s="7">
        <f t="shared" si="4"/>
        <v>2225169.290866157</v>
      </c>
      <c r="L31" s="2">
        <v>92</v>
      </c>
      <c r="M31" s="2">
        <v>27</v>
      </c>
      <c r="N31" s="6">
        <f t="shared" si="1"/>
        <v>421498.51384702133</v>
      </c>
      <c r="O31" s="6">
        <f t="shared" si="2"/>
        <v>5296377.1808432071</v>
      </c>
    </row>
    <row r="32" spans="2:18" x14ac:dyDescent="0.45">
      <c r="E32" s="2">
        <v>52</v>
      </c>
      <c r="F32" s="2">
        <v>27</v>
      </c>
      <c r="G32" s="6">
        <f t="shared" si="3"/>
        <v>190302.32602502848</v>
      </c>
      <c r="H32" s="7">
        <f t="shared" si="0"/>
        <v>60983.052788957903</v>
      </c>
      <c r="I32" s="7">
        <f t="shared" si="4"/>
        <v>2441914.194015746</v>
      </c>
      <c r="L32" s="2">
        <v>93</v>
      </c>
      <c r="M32" s="2">
        <v>28</v>
      </c>
      <c r="N32" s="6">
        <f t="shared" si="1"/>
        <v>432035.97669319686</v>
      </c>
      <c r="O32" s="6">
        <f t="shared" si="2"/>
        <v>5049714.4054795215</v>
      </c>
    </row>
    <row r="33" spans="5:15" x14ac:dyDescent="0.45">
      <c r="E33" s="2">
        <v>53</v>
      </c>
      <c r="F33" s="2">
        <v>28</v>
      </c>
      <c r="G33" s="6">
        <f t="shared" si="3"/>
        <v>197914.41906602963</v>
      </c>
      <c r="H33" s="7">
        <f t="shared" si="0"/>
        <v>63422.374900516224</v>
      </c>
      <c r="I33" s="7">
        <f t="shared" si="4"/>
        <v>2676270.5624973644</v>
      </c>
      <c r="L33" s="2">
        <v>94</v>
      </c>
      <c r="M33" s="2">
        <v>29</v>
      </c>
      <c r="N33" s="6">
        <f t="shared" si="1"/>
        <v>442836.87611052673</v>
      </c>
      <c r="O33" s="6">
        <f t="shared" si="2"/>
        <v>4783617.533560778</v>
      </c>
    </row>
    <row r="34" spans="5:15" x14ac:dyDescent="0.45">
      <c r="E34" s="2">
        <v>54</v>
      </c>
      <c r="F34" s="2">
        <v>29</v>
      </c>
      <c r="G34" s="6">
        <f t="shared" si="3"/>
        <v>205830.99582867083</v>
      </c>
      <c r="H34" s="7">
        <f t="shared" si="0"/>
        <v>65959.269896536876</v>
      </c>
      <c r="I34" s="7">
        <f t="shared" si="4"/>
        <v>2929568.7717687171</v>
      </c>
      <c r="L34" s="2">
        <v>95</v>
      </c>
      <c r="M34" s="2">
        <v>30</v>
      </c>
      <c r="N34" s="6">
        <f t="shared" si="1"/>
        <v>453907.79801328992</v>
      </c>
      <c r="O34" s="6">
        <f t="shared" si="2"/>
        <v>4497136.3492221143</v>
      </c>
    </row>
    <row r="35" spans="5:15" x14ac:dyDescent="0.45">
      <c r="E35" s="2">
        <v>55</v>
      </c>
      <c r="F35" s="2">
        <v>30</v>
      </c>
      <c r="G35" s="6">
        <f t="shared" si="3"/>
        <v>214064.23566181766</v>
      </c>
      <c r="H35" s="7">
        <f t="shared" si="0"/>
        <v>68597.640692398345</v>
      </c>
      <c r="I35" s="7">
        <f t="shared" si="4"/>
        <v>3203236.226484926</v>
      </c>
    </row>
    <row r="36" spans="5:15" x14ac:dyDescent="0.45">
      <c r="E36" s="2">
        <v>56</v>
      </c>
      <c r="F36" s="2">
        <v>31</v>
      </c>
      <c r="G36" s="6">
        <f t="shared" si="3"/>
        <v>222626.80508829036</v>
      </c>
      <c r="H36" s="7">
        <f t="shared" si="0"/>
        <v>71341.54632009429</v>
      </c>
      <c r="I36" s="7">
        <f t="shared" si="4"/>
        <v>3498804.3086589654</v>
      </c>
    </row>
    <row r="37" spans="5:15" x14ac:dyDescent="0.45">
      <c r="E37" s="2">
        <v>57</v>
      </c>
      <c r="F37" s="2">
        <v>32</v>
      </c>
      <c r="G37" s="6">
        <f t="shared" si="3"/>
        <v>231531.87729182199</v>
      </c>
      <c r="H37" s="7">
        <f t="shared" si="0"/>
        <v>74195.208172898056</v>
      </c>
      <c r="I37" s="7">
        <f t="shared" si="4"/>
        <v>3817915.8184379917</v>
      </c>
    </row>
    <row r="38" spans="5:15" x14ac:dyDescent="0.45">
      <c r="E38" s="2">
        <v>58</v>
      </c>
      <c r="F38" s="2">
        <v>33</v>
      </c>
      <c r="G38" s="6">
        <f t="shared" si="3"/>
        <v>240793.15238349489</v>
      </c>
      <c r="H38" s="7">
        <f t="shared" si="0"/>
        <v>77163.016499813995</v>
      </c>
      <c r="I38" s="7">
        <f t="shared" si="4"/>
        <v>4162332.9422284653</v>
      </c>
    </row>
    <row r="39" spans="5:15" x14ac:dyDescent="0.45">
      <c r="E39" s="2">
        <v>59</v>
      </c>
      <c r="F39" s="2">
        <v>34</v>
      </c>
      <c r="G39" s="6">
        <f t="shared" si="3"/>
        <v>250424.8784788347</v>
      </c>
      <c r="H39" s="7">
        <f t="shared" si="0"/>
        <v>80249.537159806554</v>
      </c>
      <c r="I39" s="7">
        <f t="shared" si="4"/>
        <v>4533945.7853442645</v>
      </c>
    </row>
    <row r="40" spans="5:15" x14ac:dyDescent="0.45">
      <c r="E40" s="2">
        <v>60</v>
      </c>
      <c r="F40" s="2">
        <v>35</v>
      </c>
      <c r="G40" s="6">
        <f t="shared" si="3"/>
        <v>260441.87361798808</v>
      </c>
      <c r="H40" s="7">
        <f t="shared" si="0"/>
        <v>83459.51864619882</v>
      </c>
      <c r="I40" s="7">
        <f t="shared" si="4"/>
        <v>4934781.5089645628</v>
      </c>
    </row>
    <row r="41" spans="5:15" x14ac:dyDescent="0.45">
      <c r="E41" s="2">
        <v>61</v>
      </c>
      <c r="F41" s="2">
        <v>36</v>
      </c>
      <c r="G41" s="6">
        <f t="shared" si="3"/>
        <v>270859.54856270761</v>
      </c>
      <c r="H41" s="7">
        <f t="shared" si="0"/>
        <v>86797.899392046762</v>
      </c>
      <c r="I41" s="7">
        <f t="shared" si="4"/>
        <v>5367014.1139841294</v>
      </c>
    </row>
    <row r="42" spans="5:15" x14ac:dyDescent="0.45">
      <c r="E42" s="2">
        <v>62</v>
      </c>
      <c r="F42" s="2">
        <v>37</v>
      </c>
      <c r="G42" s="6">
        <f t="shared" si="3"/>
        <v>281693.93050521595</v>
      </c>
      <c r="H42" s="7">
        <f t="shared" si="0"/>
        <v>90269.815367728646</v>
      </c>
      <c r="I42" s="7">
        <f t="shared" si="4"/>
        <v>5832974.9173307475</v>
      </c>
    </row>
    <row r="43" spans="5:15" x14ac:dyDescent="0.45">
      <c r="E43" s="2">
        <v>63</v>
      </c>
      <c r="F43" s="2">
        <v>38</v>
      </c>
      <c r="G43" s="6">
        <f t="shared" si="3"/>
        <v>292961.68772542459</v>
      </c>
      <c r="H43" s="7">
        <f t="shared" si="0"/>
        <v>93880.607982437796</v>
      </c>
      <c r="I43" s="7">
        <f t="shared" si="4"/>
        <v>6335163.7695263382</v>
      </c>
    </row>
    <row r="44" spans="5:15" x14ac:dyDescent="0.45">
      <c r="E44" s="2">
        <v>64</v>
      </c>
      <c r="F44" s="2">
        <v>39</v>
      </c>
      <c r="G44" s="6">
        <f t="shared" si="3"/>
        <v>304680.15523444157</v>
      </c>
      <c r="H44" s="7">
        <f t="shared" si="0"/>
        <v>97635.83230173531</v>
      </c>
      <c r="I44" s="7">
        <f t="shared" si="4"/>
        <v>6876261.065694917</v>
      </c>
    </row>
    <row r="45" spans="5:15" x14ac:dyDescent="0.45">
      <c r="E45" s="2">
        <v>65</v>
      </c>
      <c r="F45" s="2">
        <v>40</v>
      </c>
      <c r="G45" s="6">
        <f t="shared" si="3"/>
        <v>316867.36144381925</v>
      </c>
      <c r="H45" s="7">
        <f t="shared" si="0"/>
        <v>101541.26559380472</v>
      </c>
      <c r="I45" s="7">
        <f t="shared" si="4"/>
        <v>7459140.6058873665</v>
      </c>
    </row>
  </sheetData>
  <mergeCells count="2">
    <mergeCell ref="E3:I3"/>
    <mergeCell ref="L3:O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Statement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</dc:creator>
  <cp:lastModifiedBy>Alan Franklin</cp:lastModifiedBy>
  <dcterms:created xsi:type="dcterms:W3CDTF">2015-06-05T18:17:20Z</dcterms:created>
  <dcterms:modified xsi:type="dcterms:W3CDTF">2026-10-17T22:53:18Z</dcterms:modified>
</cp:coreProperties>
</file>