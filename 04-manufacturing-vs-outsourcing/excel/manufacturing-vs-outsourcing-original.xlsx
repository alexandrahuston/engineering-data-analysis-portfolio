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26dd3a8d7244e87/Alex's Stuff/School Info Current/MECH 408/"/>
    </mc:Choice>
  </mc:AlternateContent>
  <xr:revisionPtr revIDLastSave="6" documentId="11_F25DC773A252ABDACC1048B911DF76385BDE58EA" xr6:coauthVersionLast="47" xr6:coauthVersionMax="47" xr10:uidLastSave="{867075EA-2913-48E4-A188-4C877E3B7084}"/>
  <bookViews>
    <workbookView xWindow="0" yWindow="735" windowWidth="21600" windowHeight="10253" xr2:uid="{00000000-000D-0000-FFFF-FFFF00000000}"/>
  </bookViews>
  <sheets>
    <sheet name="Problem Statement" sheetId="1" r:id="rId1"/>
    <sheet name="Calcul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5" i="2" l="1"/>
  <c r="AG15" i="2"/>
  <c r="AI15" i="2" s="1"/>
  <c r="AF15" i="2"/>
  <c r="AK15" i="2" s="1"/>
  <c r="N15" i="2"/>
  <c r="M15" i="2"/>
  <c r="S15" i="2" s="1"/>
  <c r="L15" i="2"/>
  <c r="AH14" i="2"/>
  <c r="AG14" i="2"/>
  <c r="AI14" i="2" s="1"/>
  <c r="AF14" i="2"/>
  <c r="AK14" i="2" s="1"/>
  <c r="N14" i="2"/>
  <c r="M14" i="2"/>
  <c r="S14" i="2" s="1"/>
  <c r="AH13" i="2"/>
  <c r="AG13" i="2"/>
  <c r="AI13" i="2" s="1"/>
  <c r="AF13" i="2"/>
  <c r="AK13" i="2" s="1"/>
  <c r="Q13" i="2"/>
  <c r="N13" i="2"/>
  <c r="M13" i="2"/>
  <c r="S13" i="2" s="1"/>
  <c r="AH12" i="2"/>
  <c r="AG12" i="2"/>
  <c r="AI12" i="2" s="1"/>
  <c r="AF12" i="2"/>
  <c r="AK12" i="2" s="1"/>
  <c r="Q12" i="2"/>
  <c r="N12" i="2"/>
  <c r="M12" i="2"/>
  <c r="S12" i="2" s="1"/>
  <c r="AH11" i="2"/>
  <c r="AG11" i="2"/>
  <c r="AI11" i="2" s="1"/>
  <c r="AF11" i="2"/>
  <c r="AK11" i="2" s="1"/>
  <c r="Q11" i="2"/>
  <c r="N11" i="2"/>
  <c r="M11" i="2"/>
  <c r="S11" i="2" s="1"/>
  <c r="AH10" i="2"/>
  <c r="AG10" i="2"/>
  <c r="AI10" i="2" s="1"/>
  <c r="AF10" i="2"/>
  <c r="AK10" i="2" s="1"/>
  <c r="AE10" i="2"/>
  <c r="Q10" i="2"/>
  <c r="N10" i="2"/>
  <c r="M10" i="2"/>
  <c r="S10" i="2" s="1"/>
  <c r="AH9" i="2"/>
  <c r="AG9" i="2"/>
  <c r="AI9" i="2" s="1"/>
  <c r="AF9" i="2"/>
  <c r="AK9" i="2" s="1"/>
  <c r="AE9" i="2"/>
  <c r="Q9" i="2"/>
  <c r="N9" i="2"/>
  <c r="M9" i="2"/>
  <c r="S9" i="2" s="1"/>
  <c r="AH8" i="2"/>
  <c r="AG8" i="2"/>
  <c r="AI8" i="2" s="1"/>
  <c r="AF8" i="2"/>
  <c r="AK8" i="2" s="1"/>
  <c r="AE8" i="2"/>
  <c r="Q8" i="2"/>
  <c r="N8" i="2"/>
  <c r="M8" i="2"/>
  <c r="S8" i="2" s="1"/>
  <c r="AI7" i="2"/>
  <c r="AH7" i="2"/>
  <c r="AG7" i="2"/>
  <c r="AF7" i="2"/>
  <c r="AK7" i="2" s="1"/>
  <c r="AE7" i="2"/>
  <c r="Q7" i="2"/>
  <c r="N7" i="2"/>
  <c r="M7" i="2"/>
  <c r="S7" i="2" s="1"/>
  <c r="AH6" i="2"/>
  <c r="AG6" i="2"/>
  <c r="AI6" i="2" s="1"/>
  <c r="AF6" i="2"/>
  <c r="AK6" i="2" s="1"/>
  <c r="AE6" i="2"/>
  <c r="Q6" i="2"/>
  <c r="N6" i="2"/>
  <c r="M6" i="2"/>
  <c r="S6" i="2" s="1"/>
  <c r="AD5" i="2"/>
  <c r="K5" i="2"/>
  <c r="AM15" i="2" l="1"/>
  <c r="AN15" i="2"/>
  <c r="AP15" i="2" s="1"/>
  <c r="AQ15" i="2" s="1"/>
  <c r="U15" i="2"/>
  <c r="V15" i="2"/>
  <c r="AM14" i="2"/>
  <c r="AN14" i="2"/>
  <c r="AP14" i="2" s="1"/>
  <c r="AQ14" i="2" s="1"/>
  <c r="U14" i="2"/>
  <c r="V14" i="2"/>
  <c r="AM13" i="2"/>
  <c r="AN13" i="2"/>
  <c r="AP13" i="2" s="1"/>
  <c r="AQ13" i="2" s="1"/>
  <c r="U13" i="2"/>
  <c r="V13" i="2"/>
  <c r="AM12" i="2"/>
  <c r="AN12" i="2"/>
  <c r="AP12" i="2" s="1"/>
  <c r="AQ12" i="2" s="1"/>
  <c r="U12" i="2"/>
  <c r="V12" i="2"/>
  <c r="AM11" i="2"/>
  <c r="AN11" i="2"/>
  <c r="AP11" i="2" s="1"/>
  <c r="AQ11" i="2" s="1"/>
  <c r="U11" i="2"/>
  <c r="V11" i="2"/>
  <c r="AM10" i="2"/>
  <c r="AN10" i="2"/>
  <c r="AP10" i="2" s="1"/>
  <c r="AQ10" i="2" s="1"/>
  <c r="U10" i="2"/>
  <c r="V10" i="2"/>
  <c r="AM9" i="2"/>
  <c r="AN9" i="2"/>
  <c r="AP9" i="2" s="1"/>
  <c r="AQ9" i="2" s="1"/>
  <c r="U9" i="2"/>
  <c r="V9" i="2"/>
  <c r="AM8" i="2"/>
  <c r="AN8" i="2"/>
  <c r="AP8" i="2" s="1"/>
  <c r="AQ8" i="2" s="1"/>
  <c r="U8" i="2"/>
  <c r="V8" i="2"/>
  <c r="AM7" i="2"/>
  <c r="AN7" i="2"/>
  <c r="AP7" i="2" s="1"/>
  <c r="AQ7" i="2" s="1"/>
  <c r="U7" i="2"/>
  <c r="V7" i="2"/>
  <c r="AM6" i="2"/>
  <c r="AN6" i="2"/>
  <c r="AP6" i="2" s="1"/>
  <c r="AQ6" i="2" s="1"/>
  <c r="U6" i="2"/>
  <c r="V6" i="2"/>
  <c r="AP5" i="2"/>
  <c r="AQ5" i="2" s="1"/>
  <c r="AR5" i="2" s="1"/>
  <c r="AN5" i="2"/>
  <c r="AN17" i="2" s="1"/>
  <c r="AK5" i="2"/>
  <c r="X5" i="2"/>
  <c r="Y5" i="2" s="1"/>
  <c r="S5" i="2"/>
  <c r="V5" i="2" s="1"/>
  <c r="X15" i="2" l="1"/>
  <c r="Y15" i="2" s="1"/>
  <c r="AT15" i="2"/>
  <c r="X14" i="2"/>
  <c r="Y14" i="2" s="1"/>
  <c r="AT14" i="2"/>
  <c r="X13" i="2"/>
  <c r="Y13" i="2" s="1"/>
  <c r="AT13" i="2"/>
  <c r="X12" i="2"/>
  <c r="Y12" i="2" s="1"/>
  <c r="AT12" i="2"/>
  <c r="X11" i="2"/>
  <c r="Y11" i="2" s="1"/>
  <c r="AT11" i="2"/>
  <c r="X10" i="2"/>
  <c r="Y10" i="2" s="1"/>
  <c r="AT10" i="2"/>
  <c r="X9" i="2"/>
  <c r="Y9" i="2" s="1"/>
  <c r="AT9" i="2"/>
  <c r="X8" i="2"/>
  <c r="Y8" i="2" s="1"/>
  <c r="AT8" i="2"/>
  <c r="X7" i="2"/>
  <c r="Y7" i="2" s="1"/>
  <c r="AT7" i="2"/>
  <c r="X6" i="2"/>
  <c r="Y6" i="2" s="1"/>
  <c r="Z5" i="2" s="1"/>
  <c r="AT6" i="2"/>
  <c r="AT5" i="2"/>
  <c r="AT17" i="2" s="1"/>
  <c r="V17" i="2"/>
</calcChain>
</file>

<file path=xl/sharedStrings.xml><?xml version="1.0" encoding="utf-8"?>
<sst xmlns="http://schemas.openxmlformats.org/spreadsheetml/2006/main" count="91" uniqueCount="68">
  <si>
    <t>Given:</t>
  </si>
  <si>
    <t>Calculations</t>
  </si>
  <si>
    <t>ECUs needed</t>
  </si>
  <si>
    <t>per year</t>
  </si>
  <si>
    <t>Alternative A: Establishing In-House Production</t>
  </si>
  <si>
    <t>MARR</t>
  </si>
  <si>
    <t>Alternative B: Overseas Sourcing (with Tariffs)</t>
  </si>
  <si>
    <t>Project lifetime</t>
  </si>
  <si>
    <t>years</t>
  </si>
  <si>
    <t>Years</t>
  </si>
  <si>
    <t>Initial Investment</t>
  </si>
  <si>
    <t>Salvage Value</t>
  </si>
  <si>
    <t>Revenue</t>
  </si>
  <si>
    <t>Operating Costs</t>
  </si>
  <si>
    <t>MACRS</t>
  </si>
  <si>
    <t>Depriciation</t>
  </si>
  <si>
    <t>BTCF</t>
  </si>
  <si>
    <t>Taxes</t>
  </si>
  <si>
    <t>ATCF</t>
  </si>
  <si>
    <t>Net Cash Flow</t>
  </si>
  <si>
    <t>PW</t>
  </si>
  <si>
    <t>NPV</t>
  </si>
  <si>
    <t>Purchace Cost</t>
  </si>
  <si>
    <t>S&amp;H Cost</t>
  </si>
  <si>
    <t>Total Cost</t>
  </si>
  <si>
    <t>Tax</t>
  </si>
  <si>
    <t>Incremental Cash Flows</t>
  </si>
  <si>
    <t>Tax rate</t>
  </si>
  <si>
    <t xml:space="preserve">Value </t>
  </si>
  <si>
    <t>per ECU</t>
  </si>
  <si>
    <t>Alternative A:</t>
  </si>
  <si>
    <t>Annual Operating Costs  (Excluding Depreciation)</t>
  </si>
  <si>
    <t>Useful Life</t>
  </si>
  <si>
    <t>Alternative B:</t>
  </si>
  <si>
    <t>Straight Line Depriciation</t>
  </si>
  <si>
    <t>Annual Cost per ECU (Before Tariffs)</t>
  </si>
  <si>
    <t>per unit</t>
  </si>
  <si>
    <t>IRR</t>
  </si>
  <si>
    <t>Import Tariff</t>
  </si>
  <si>
    <t>Annual Shipping and Handling Costs</t>
  </si>
  <si>
    <t>Voltara, a vehicle manufacturing company based in the US, needs to decide how to</t>
  </si>
  <si>
    <t>source a critical electronic control unit (ECU) for their new electric vehicle model. Voltara</t>
  </si>
  <si>
    <t>projects needing 50,000 ECUs per year for the next 10 years for this specific EV model. The</t>
  </si>
  <si>
    <t>value of this ECU for a vehicle sold on the market is $90 per unit. They have two primary</t>
  </si>
  <si>
    <t>options:</t>
  </si>
  <si>
    <t>• Initial Investment: $8,000,000 for specialized robotic assembly lines and testing</t>
  </si>
  <si>
    <t>equipment within their existing plant. This equipment qualifies as 7-year property under</t>
  </si>
  <si>
    <t>MACRS.</t>
  </si>
  <si>
    <t>• Annual Operating Costs (Excluding Depreciation): $2,500,000 per year, including raw</t>
  </si>
  <si>
    <t>materials, labor, and utilities.</t>
  </si>
  <si>
    <t>• Salvage Value: The specialized equipment is estimated to have a salvage value of</t>
  </si>
  <si>
    <t>$500,000 at the end of its 10-year useful life.</t>
  </si>
  <si>
    <t>• Corporate Tax Rate: 21%.</t>
  </si>
  <si>
    <t>• Initial Investment: $200,000 for establishing a contract with a reputable overseas</t>
  </si>
  <si>
    <t>supplier and setting up the necessary logistics and quality control processes. This cost can</t>
  </si>
  <si>
    <t>be treated as an intangible asset and depreciated using straight-line depreciation over 5</t>
  </si>
  <si>
    <t>years with no residual value.</t>
  </si>
  <si>
    <t>• Annual Cost per ECU (Before Tariffs): $33.30 per unit.</t>
  </si>
  <si>
    <t>• Import Tariff: A 150% tariff is levied by the US government on the imported ECUs.</t>
  </si>
  <si>
    <t>• Annual Shipping and Handling Costs: $300,000 per year.</t>
  </si>
  <si>
    <t>1. Develop a detailed spreadsheet model to calculate the before- and after-tax cash flows for</t>
  </si>
  <si>
    <t>each alternative over a 10-year period.</t>
  </si>
  <si>
    <t>2. Calculate the Internal Rate of Return (IRR) for each sourcing option and the incremental</t>
  </si>
  <si>
    <t>IRR, based on the after-tax cash flows.</t>
  </si>
  <si>
    <t>3. If Voltara's minimum acceptable rate of return (MARR) is 15%, which sourcing strategy</t>
  </si>
  <si>
    <t>should they pursue based on the incremental IRR analysis?</t>
  </si>
  <si>
    <t>4. Identify and briefly discuss at least two significant non-financial factors that Voltara should</t>
  </si>
  <si>
    <t>consider before finalizing their decision between in-house production and overseas sourcing.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</si>
</sst>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&quot;$&quot;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6" fontId="0" fillId="0" borderId="0" xfId="0" applyNumberFormat="1"/>
    <xf numFmtId="165" fontId="0" fillId="0" borderId="0" xfId="0" applyNumberFormat="1"/>
    <xf numFmtId="10" fontId="0" fillId="0" borderId="0" xfId="2" applyNumberFormat="1" applyFont="1"/>
    <xf numFmtId="6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8" fontId="0" fillId="0" borderId="0" xfId="0" applyNumberFormat="1"/>
    <xf numFmtId="9" fontId="0" fillId="2" borderId="0" xfId="0" applyNumberFormat="1" applyFill="1" applyAlignment="1">
      <alignment horizontal="center"/>
    </xf>
    <xf numFmtId="8" fontId="0" fillId="0" borderId="0" xfId="0" applyNumberFormat="1" applyAlignment="1">
      <alignment horizontal="center"/>
    </xf>
    <xf numFmtId="0" fontId="3" fillId="0" borderId="0" xfId="0" applyFont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workbookViewId="0">
      <selection activeCell="A5" sqref="A5"/>
    </sheetView>
  </sheetViews>
  <sheetFormatPr defaultRowHeight="14.25" x14ac:dyDescent="0.45"/>
  <sheetData>
    <row r="1" spans="1:1" ht="15.75" x14ac:dyDescent="0.45">
      <c r="A1" s="18" t="s">
        <v>40</v>
      </c>
    </row>
    <row r="2" spans="1:1" ht="15.75" x14ac:dyDescent="0.45">
      <c r="A2" s="18" t="s">
        <v>41</v>
      </c>
    </row>
    <row r="3" spans="1:1" ht="15.75" x14ac:dyDescent="0.45">
      <c r="A3" s="18" t="s">
        <v>42</v>
      </c>
    </row>
    <row r="4" spans="1:1" ht="15.75" x14ac:dyDescent="0.45">
      <c r="A4" s="18" t="s">
        <v>43</v>
      </c>
    </row>
    <row r="5" spans="1:1" ht="15.75" x14ac:dyDescent="0.45">
      <c r="A5" s="18" t="s">
        <v>44</v>
      </c>
    </row>
    <row r="6" spans="1:1" ht="15.75" x14ac:dyDescent="0.45">
      <c r="A6" s="18" t="s">
        <v>4</v>
      </c>
    </row>
    <row r="7" spans="1:1" ht="15.75" x14ac:dyDescent="0.45">
      <c r="A7" s="18" t="s">
        <v>45</v>
      </c>
    </row>
    <row r="8" spans="1:1" ht="15.75" x14ac:dyDescent="0.45">
      <c r="A8" s="18" t="s">
        <v>46</v>
      </c>
    </row>
    <row r="9" spans="1:1" ht="15.75" x14ac:dyDescent="0.45">
      <c r="A9" s="18" t="s">
        <v>47</v>
      </c>
    </row>
    <row r="10" spans="1:1" ht="15.75" x14ac:dyDescent="0.45">
      <c r="A10" s="18" t="s">
        <v>48</v>
      </c>
    </row>
    <row r="11" spans="1:1" ht="15.75" x14ac:dyDescent="0.45">
      <c r="A11" s="18" t="s">
        <v>49</v>
      </c>
    </row>
    <row r="12" spans="1:1" ht="15.75" x14ac:dyDescent="0.45">
      <c r="A12" s="18" t="s">
        <v>50</v>
      </c>
    </row>
    <row r="13" spans="1:1" ht="15.75" x14ac:dyDescent="0.45">
      <c r="A13" s="18" t="s">
        <v>51</v>
      </c>
    </row>
    <row r="14" spans="1:1" ht="15.75" x14ac:dyDescent="0.45">
      <c r="A14" s="18" t="s">
        <v>52</v>
      </c>
    </row>
    <row r="15" spans="1:1" ht="15.75" x14ac:dyDescent="0.45">
      <c r="A15" s="18" t="s">
        <v>6</v>
      </c>
    </row>
    <row r="16" spans="1:1" ht="15.75" x14ac:dyDescent="0.45">
      <c r="A16" s="18" t="s">
        <v>53</v>
      </c>
    </row>
    <row r="17" spans="1:1" ht="15.75" x14ac:dyDescent="0.45">
      <c r="A17" s="18" t="s">
        <v>54</v>
      </c>
    </row>
    <row r="18" spans="1:1" ht="15.75" x14ac:dyDescent="0.45">
      <c r="A18" s="18" t="s">
        <v>55</v>
      </c>
    </row>
    <row r="19" spans="1:1" ht="15.75" x14ac:dyDescent="0.45">
      <c r="A19" s="18" t="s">
        <v>56</v>
      </c>
    </row>
    <row r="20" spans="1:1" ht="15.75" x14ac:dyDescent="0.45">
      <c r="A20" s="18" t="s">
        <v>57</v>
      </c>
    </row>
    <row r="21" spans="1:1" ht="15.75" x14ac:dyDescent="0.45">
      <c r="A21" s="18" t="s">
        <v>58</v>
      </c>
    </row>
    <row r="22" spans="1:1" ht="15.75" x14ac:dyDescent="0.45">
      <c r="A22" s="18" t="s">
        <v>59</v>
      </c>
    </row>
    <row r="23" spans="1:1" ht="15.75" x14ac:dyDescent="0.45">
      <c r="A23" s="18" t="s">
        <v>52</v>
      </c>
    </row>
    <row r="24" spans="1:1" ht="15.75" x14ac:dyDescent="0.45">
      <c r="A24" s="18" t="s">
        <v>60</v>
      </c>
    </row>
    <row r="25" spans="1:1" ht="15.75" x14ac:dyDescent="0.45">
      <c r="A25" s="18" t="s">
        <v>61</v>
      </c>
    </row>
    <row r="26" spans="1:1" ht="15.75" x14ac:dyDescent="0.45">
      <c r="A26" s="18" t="s">
        <v>62</v>
      </c>
    </row>
    <row r="27" spans="1:1" ht="15.75" x14ac:dyDescent="0.45">
      <c r="A27" s="18" t="s">
        <v>63</v>
      </c>
    </row>
    <row r="28" spans="1:1" ht="15.75" x14ac:dyDescent="0.45">
      <c r="A28" s="18" t="s">
        <v>64</v>
      </c>
    </row>
    <row r="29" spans="1:1" ht="15.75" x14ac:dyDescent="0.45">
      <c r="A29" s="18" t="s">
        <v>65</v>
      </c>
    </row>
    <row r="30" spans="1:1" ht="15.75" x14ac:dyDescent="0.45">
      <c r="A30" s="18" t="s">
        <v>66</v>
      </c>
    </row>
    <row r="31" spans="1:1" ht="15.75" x14ac:dyDescent="0.45">
      <c r="A31" s="18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06DBF-AF82-488D-99FA-75248AC086B6}">
  <dimension ref="B2:AT20"/>
  <sheetViews>
    <sheetView topLeftCell="S1" workbookViewId="0">
      <selection activeCell="AG29" sqref="AG29"/>
    </sheetView>
  </sheetViews>
  <sheetFormatPr defaultRowHeight="14.25" x14ac:dyDescent="0.45"/>
  <cols>
    <col min="1" max="1" width="2.73046875" customWidth="1"/>
    <col min="2" max="3" width="1.3984375" style="3" customWidth="1"/>
    <col min="4" max="4" width="43.86328125" customWidth="1"/>
    <col min="5" max="5" width="10.86328125" style="2" bestFit="1" customWidth="1"/>
    <col min="6" max="6" width="8.265625" bestFit="1" customWidth="1"/>
    <col min="8" max="8" width="1.3984375" style="3" customWidth="1"/>
    <col min="9" max="9" width="5.73046875" style="3" bestFit="1" customWidth="1"/>
    <col min="10" max="10" width="1.3984375" style="3" customWidth="1"/>
    <col min="11" max="11" width="16.86328125" bestFit="1" customWidth="1"/>
    <col min="12" max="12" width="13.3984375" bestFit="1" customWidth="1"/>
    <col min="13" max="13" width="10.1328125" bestFit="1" customWidth="1"/>
    <col min="14" max="14" width="15.1328125" bestFit="1" customWidth="1"/>
    <col min="15" max="15" width="1.3984375" style="3" customWidth="1"/>
    <col min="16" max="16" width="7.265625" bestFit="1" customWidth="1"/>
    <col min="17" max="17" width="11.86328125" bestFit="1" customWidth="1"/>
    <col min="18" max="18" width="1.3984375" style="3" customWidth="1"/>
    <col min="19" max="19" width="11.59765625" bestFit="1" customWidth="1"/>
    <col min="20" max="20" width="1.3984375" style="3" customWidth="1"/>
    <col min="21" max="21" width="8.59765625" bestFit="1" customWidth="1"/>
    <col min="22" max="22" width="11.59765625" bestFit="1" customWidth="1"/>
    <col min="23" max="23" width="1.3984375" style="3" customWidth="1"/>
    <col min="24" max="24" width="13.73046875" bestFit="1" customWidth="1"/>
    <col min="25" max="25" width="13.73046875" customWidth="1"/>
    <col min="26" max="26" width="11.59765625" bestFit="1" customWidth="1"/>
    <col min="27" max="27" width="10.265625" customWidth="1"/>
    <col min="28" max="28" width="5.73046875" style="3" bestFit="1" customWidth="1"/>
    <col min="29" max="29" width="1.3984375" style="3" customWidth="1"/>
    <col min="30" max="30" width="16.86328125" bestFit="1" customWidth="1"/>
    <col min="31" max="31" width="11.86328125" bestFit="1" customWidth="1"/>
    <col min="32" max="32" width="10.1328125" bestFit="1" customWidth="1"/>
    <col min="33" max="33" width="13.3984375" bestFit="1" customWidth="1"/>
    <col min="34" max="34" width="9.265625" bestFit="1" customWidth="1"/>
    <col min="35" max="35" width="10.1328125" bestFit="1" customWidth="1"/>
    <col min="36" max="36" width="1.3984375" style="3" customWidth="1"/>
    <col min="37" max="37" width="10.1328125" bestFit="1" customWidth="1"/>
    <col min="38" max="38" width="1.3984375" style="3" customWidth="1"/>
    <col min="40" max="40" width="10.1328125" bestFit="1" customWidth="1"/>
    <col min="41" max="41" width="1.3984375" style="3" customWidth="1"/>
    <col min="42" max="42" width="13.73046875" bestFit="1" customWidth="1"/>
    <col min="43" max="44" width="13.73046875" customWidth="1"/>
    <col min="46" max="46" width="13.1328125" customWidth="1"/>
  </cols>
  <sheetData>
    <row r="2" spans="2:46" x14ac:dyDescent="0.45">
      <c r="B2" s="1" t="s">
        <v>0</v>
      </c>
      <c r="C2" s="1"/>
      <c r="H2" s="1" t="s">
        <v>1</v>
      </c>
    </row>
    <row r="3" spans="2:46" x14ac:dyDescent="0.45">
      <c r="C3" t="s">
        <v>2</v>
      </c>
      <c r="E3" s="4">
        <v>50000</v>
      </c>
      <c r="F3" t="s">
        <v>3</v>
      </c>
      <c r="H3" s="5"/>
      <c r="K3" s="6" t="s">
        <v>4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 t="s">
        <v>5</v>
      </c>
      <c r="Z3" s="6"/>
      <c r="AD3" s="6" t="s">
        <v>6</v>
      </c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 t="s">
        <v>5</v>
      </c>
      <c r="AR3" s="6"/>
    </row>
    <row r="4" spans="2:46" x14ac:dyDescent="0.45">
      <c r="C4" t="s">
        <v>7</v>
      </c>
      <c r="E4" s="2">
        <v>10</v>
      </c>
      <c r="F4" t="s">
        <v>8</v>
      </c>
      <c r="I4" s="5" t="s">
        <v>9</v>
      </c>
      <c r="K4" s="7" t="s">
        <v>10</v>
      </c>
      <c r="L4" s="5" t="s">
        <v>11</v>
      </c>
      <c r="M4" s="5" t="s">
        <v>12</v>
      </c>
      <c r="N4" s="5" t="s">
        <v>13</v>
      </c>
      <c r="O4" s="5"/>
      <c r="P4" s="7" t="s">
        <v>14</v>
      </c>
      <c r="Q4" s="5" t="s">
        <v>15</v>
      </c>
      <c r="R4" s="5"/>
      <c r="S4" s="5" t="s">
        <v>16</v>
      </c>
      <c r="T4" s="5"/>
      <c r="U4" s="5" t="s">
        <v>17</v>
      </c>
      <c r="V4" s="5" t="s">
        <v>18</v>
      </c>
      <c r="W4" s="5"/>
      <c r="X4" s="7" t="s">
        <v>19</v>
      </c>
      <c r="Y4" s="8" t="s">
        <v>20</v>
      </c>
      <c r="Z4" s="5" t="s">
        <v>21</v>
      </c>
      <c r="AB4" s="5" t="s">
        <v>9</v>
      </c>
      <c r="AD4" s="7" t="s">
        <v>10</v>
      </c>
      <c r="AE4" s="7" t="s">
        <v>15</v>
      </c>
      <c r="AF4" s="5" t="s">
        <v>12</v>
      </c>
      <c r="AG4" s="7" t="s">
        <v>22</v>
      </c>
      <c r="AH4" s="7" t="s">
        <v>23</v>
      </c>
      <c r="AI4" s="7" t="s">
        <v>24</v>
      </c>
      <c r="AJ4" s="5"/>
      <c r="AK4" s="7" t="s">
        <v>16</v>
      </c>
      <c r="AL4" s="5"/>
      <c r="AM4" s="7" t="s">
        <v>25</v>
      </c>
      <c r="AN4" s="5" t="s">
        <v>18</v>
      </c>
      <c r="AO4" s="5"/>
      <c r="AP4" s="7" t="s">
        <v>19</v>
      </c>
      <c r="AQ4" s="8" t="s">
        <v>20</v>
      </c>
      <c r="AR4" s="5" t="s">
        <v>21</v>
      </c>
      <c r="AT4" s="8" t="s">
        <v>26</v>
      </c>
    </row>
    <row r="5" spans="2:46" x14ac:dyDescent="0.45">
      <c r="C5" t="s">
        <v>27</v>
      </c>
      <c r="E5" s="9">
        <v>0.21</v>
      </c>
      <c r="I5" s="3">
        <v>0</v>
      </c>
      <c r="K5" s="10">
        <f>-E10</f>
        <v>-8000000</v>
      </c>
      <c r="S5" s="10">
        <f>K5</f>
        <v>-8000000</v>
      </c>
      <c r="V5" s="10">
        <f>S5</f>
        <v>-8000000</v>
      </c>
      <c r="X5" s="10">
        <f>K5</f>
        <v>-8000000</v>
      </c>
      <c r="Y5" s="10">
        <f>X5</f>
        <v>-8000000</v>
      </c>
      <c r="Z5" s="10">
        <f>SUM(Y5:Y15)</f>
        <v>1080592.7879353517</v>
      </c>
      <c r="AB5" s="3">
        <v>0</v>
      </c>
      <c r="AD5" s="10">
        <f>-E16</f>
        <v>-200000</v>
      </c>
      <c r="AK5" s="10">
        <f>AD5</f>
        <v>-200000</v>
      </c>
      <c r="AN5" s="10">
        <f>AD5</f>
        <v>-200000</v>
      </c>
      <c r="AP5" s="10">
        <f>AD5</f>
        <v>-200000</v>
      </c>
      <c r="AQ5" s="10">
        <f>AP5</f>
        <v>-200000</v>
      </c>
      <c r="AR5" s="10">
        <f>SUM(AQ5:AQ15)</f>
        <v>-23160.876635772624</v>
      </c>
      <c r="AT5" s="11">
        <f>V5-AN5</f>
        <v>-7800000</v>
      </c>
    </row>
    <row r="6" spans="2:46" x14ac:dyDescent="0.45">
      <c r="C6" t="s">
        <v>5</v>
      </c>
      <c r="E6" s="9">
        <v>0.15</v>
      </c>
      <c r="I6" s="3">
        <v>1</v>
      </c>
      <c r="M6" s="11">
        <f>$E$3*$E$7</f>
        <v>4500000</v>
      </c>
      <c r="N6" s="10">
        <f>$E$11</f>
        <v>2500000</v>
      </c>
      <c r="P6" s="12">
        <v>0.1429</v>
      </c>
      <c r="Q6" s="10">
        <f t="shared" ref="Q6:Q13" si="0">$E$10*P6</f>
        <v>1143200</v>
      </c>
      <c r="S6" s="11">
        <f>M6-N6-Q6</f>
        <v>856800</v>
      </c>
      <c r="U6" s="11">
        <f>S6*$E$5</f>
        <v>179928</v>
      </c>
      <c r="V6" s="11">
        <f>S6-U6</f>
        <v>676872</v>
      </c>
      <c r="X6" s="11">
        <f>V6+Q6</f>
        <v>1820072</v>
      </c>
      <c r="Y6" s="11">
        <f>X6/(1+$E$6)^$I6</f>
        <v>1582671.3043478262</v>
      </c>
      <c r="AB6" s="3">
        <v>1</v>
      </c>
      <c r="AE6" s="10">
        <f>$E$16/$E$17</f>
        <v>40000</v>
      </c>
      <c r="AF6" s="11">
        <f>$E$3*$E$7</f>
        <v>4500000</v>
      </c>
      <c r="AG6" s="11">
        <f>$E$3*($E$18*(1+$E$19))</f>
        <v>4162500</v>
      </c>
      <c r="AH6" s="10">
        <f>$E$20</f>
        <v>300000</v>
      </c>
      <c r="AI6" s="11">
        <f>AG6+AH6</f>
        <v>4462500</v>
      </c>
      <c r="AK6" s="11">
        <f>AF6-AI6-AE6</f>
        <v>-2500</v>
      </c>
      <c r="AM6" s="11">
        <f>AK6*$E$5</f>
        <v>-525</v>
      </c>
      <c r="AN6" s="11">
        <f>AK6-AM6</f>
        <v>-1975</v>
      </c>
      <c r="AP6" s="11">
        <f>AN6+AE6</f>
        <v>38025</v>
      </c>
      <c r="AQ6" s="11">
        <f>AP6/(1+$E$6)^$I6</f>
        <v>33065.217391304352</v>
      </c>
      <c r="AT6" s="11">
        <f t="shared" ref="AT6:AT15" si="1">V6-AN6</f>
        <v>678847</v>
      </c>
    </row>
    <row r="7" spans="2:46" x14ac:dyDescent="0.45">
      <c r="C7" t="s">
        <v>28</v>
      </c>
      <c r="E7" s="13">
        <v>90</v>
      </c>
      <c r="F7" t="s">
        <v>29</v>
      </c>
      <c r="I7" s="3">
        <v>2</v>
      </c>
      <c r="M7" s="11">
        <f t="shared" ref="M7:M15" si="2">$E$3*$E$7</f>
        <v>4500000</v>
      </c>
      <c r="N7" s="10">
        <f t="shared" ref="N7:N15" si="3">$E$11</f>
        <v>2500000</v>
      </c>
      <c r="P7" s="12">
        <v>0.24490000000000001</v>
      </c>
      <c r="Q7" s="10">
        <f t="shared" si="0"/>
        <v>1959200</v>
      </c>
      <c r="S7" s="11">
        <f>M7-N7-Q7</f>
        <v>40800</v>
      </c>
      <c r="U7" s="11">
        <f t="shared" ref="U7:U15" si="4">S7*$E$5</f>
        <v>8568</v>
      </c>
      <c r="V7" s="11">
        <f t="shared" ref="V7:V14" si="5">S7-U7</f>
        <v>32232</v>
      </c>
      <c r="X7" s="11">
        <f t="shared" ref="X7:X15" si="6">V7+Q7</f>
        <v>1991432</v>
      </c>
      <c r="Y7" s="11">
        <f t="shared" ref="Y7:Y15" si="7">X7/(1+$E$6)^$I7</f>
        <v>1505808.6956521741</v>
      </c>
      <c r="AB7" s="3">
        <v>2</v>
      </c>
      <c r="AE7" s="10">
        <f t="shared" ref="AE7:AE10" si="8">$E$16/$E$17</f>
        <v>40000</v>
      </c>
      <c r="AF7" s="11">
        <f t="shared" ref="AF7:AF15" si="9">$E$3*$E$7</f>
        <v>4500000</v>
      </c>
      <c r="AG7" s="11">
        <f t="shared" ref="AG7:AG15" si="10">$E$3*($E$18*(1+$E$19))</f>
        <v>4162500</v>
      </c>
      <c r="AH7" s="10">
        <f t="shared" ref="AH7:AH15" si="11">$E$20</f>
        <v>300000</v>
      </c>
      <c r="AI7" s="11">
        <f t="shared" ref="AI7:AI15" si="12">AG7+AH7</f>
        <v>4462500</v>
      </c>
      <c r="AK7" s="11">
        <f t="shared" ref="AK7:AK15" si="13">AF7-AI7-AE7</f>
        <v>-2500</v>
      </c>
      <c r="AM7" s="11">
        <f t="shared" ref="AM7:AM15" si="14">AK7*$E$5</f>
        <v>-525</v>
      </c>
      <c r="AN7" s="11">
        <f t="shared" ref="AN7:AN15" si="15">AK7-AM7</f>
        <v>-1975</v>
      </c>
      <c r="AP7" s="11">
        <f t="shared" ref="AP7:AP15" si="16">AN7+AE7</f>
        <v>38025</v>
      </c>
      <c r="AQ7" s="11">
        <f t="shared" ref="AQ7:AQ15" si="17">AP7/(1+$E$6)^$I7</f>
        <v>28752.362948960308</v>
      </c>
      <c r="AT7" s="11">
        <f t="shared" si="1"/>
        <v>34207</v>
      </c>
    </row>
    <row r="8" spans="2:46" x14ac:dyDescent="0.45">
      <c r="I8" s="3">
        <v>3</v>
      </c>
      <c r="M8" s="11">
        <f t="shared" si="2"/>
        <v>4500000</v>
      </c>
      <c r="N8" s="10">
        <f t="shared" si="3"/>
        <v>2500000</v>
      </c>
      <c r="P8" s="12">
        <v>0.1749</v>
      </c>
      <c r="Q8" s="10">
        <f t="shared" si="0"/>
        <v>1399200</v>
      </c>
      <c r="S8" s="11">
        <f t="shared" ref="S8:S14" si="18">M8-N8-Q8</f>
        <v>600800</v>
      </c>
      <c r="U8" s="11">
        <f t="shared" si="4"/>
        <v>126168</v>
      </c>
      <c r="V8" s="11">
        <f t="shared" si="5"/>
        <v>474632</v>
      </c>
      <c r="X8" s="11">
        <f t="shared" si="6"/>
        <v>1873832</v>
      </c>
      <c r="Y8" s="11">
        <f t="shared" si="7"/>
        <v>1232074.9568504975</v>
      </c>
      <c r="AB8" s="3">
        <v>3</v>
      </c>
      <c r="AE8" s="10">
        <f t="shared" si="8"/>
        <v>40000</v>
      </c>
      <c r="AF8" s="11">
        <f t="shared" si="9"/>
        <v>4500000</v>
      </c>
      <c r="AG8" s="11">
        <f t="shared" si="10"/>
        <v>4162500</v>
      </c>
      <c r="AH8" s="10">
        <f t="shared" si="11"/>
        <v>300000</v>
      </c>
      <c r="AI8" s="11">
        <f t="shared" si="12"/>
        <v>4462500</v>
      </c>
      <c r="AK8" s="11">
        <f t="shared" si="13"/>
        <v>-2500</v>
      </c>
      <c r="AM8" s="11">
        <f t="shared" si="14"/>
        <v>-525</v>
      </c>
      <c r="AN8" s="11">
        <f t="shared" si="15"/>
        <v>-1975</v>
      </c>
      <c r="AP8" s="11">
        <f t="shared" si="16"/>
        <v>38025</v>
      </c>
      <c r="AQ8" s="11">
        <f t="shared" si="17"/>
        <v>25002.054738226358</v>
      </c>
      <c r="AT8" s="11">
        <f t="shared" si="1"/>
        <v>476607</v>
      </c>
    </row>
    <row r="9" spans="2:46" x14ac:dyDescent="0.45">
      <c r="C9" t="s">
        <v>30</v>
      </c>
      <c r="I9" s="3">
        <v>4</v>
      </c>
      <c r="M9" s="11">
        <f t="shared" si="2"/>
        <v>4500000</v>
      </c>
      <c r="N9" s="10">
        <f t="shared" si="3"/>
        <v>2500000</v>
      </c>
      <c r="P9" s="12">
        <v>0.1249</v>
      </c>
      <c r="Q9" s="10">
        <f t="shared" si="0"/>
        <v>999200</v>
      </c>
      <c r="S9" s="11">
        <f t="shared" si="18"/>
        <v>1000800</v>
      </c>
      <c r="U9" s="11">
        <f t="shared" si="4"/>
        <v>210168</v>
      </c>
      <c r="V9" s="11">
        <f t="shared" si="5"/>
        <v>790632</v>
      </c>
      <c r="X9" s="11">
        <f t="shared" si="6"/>
        <v>1789832</v>
      </c>
      <c r="Y9" s="11">
        <f t="shared" si="7"/>
        <v>1023342.2550662701</v>
      </c>
      <c r="AB9" s="3">
        <v>4</v>
      </c>
      <c r="AE9" s="10">
        <f t="shared" si="8"/>
        <v>40000</v>
      </c>
      <c r="AF9" s="11">
        <f t="shared" si="9"/>
        <v>4500000</v>
      </c>
      <c r="AG9" s="11">
        <f t="shared" si="10"/>
        <v>4162500</v>
      </c>
      <c r="AH9" s="10">
        <f t="shared" si="11"/>
        <v>300000</v>
      </c>
      <c r="AI9" s="11">
        <f t="shared" si="12"/>
        <v>4462500</v>
      </c>
      <c r="AK9" s="11">
        <f t="shared" si="13"/>
        <v>-2500</v>
      </c>
      <c r="AM9" s="11">
        <f t="shared" si="14"/>
        <v>-525</v>
      </c>
      <c r="AN9" s="11">
        <f t="shared" si="15"/>
        <v>-1975</v>
      </c>
      <c r="AP9" s="11">
        <f t="shared" si="16"/>
        <v>38025</v>
      </c>
      <c r="AQ9" s="11">
        <f t="shared" si="17"/>
        <v>21740.917163675094</v>
      </c>
      <c r="AT9" s="11">
        <f t="shared" si="1"/>
        <v>792607</v>
      </c>
    </row>
    <row r="10" spans="2:46" x14ac:dyDescent="0.45">
      <c r="D10" t="s">
        <v>10</v>
      </c>
      <c r="E10" s="13">
        <v>8000000</v>
      </c>
      <c r="I10" s="3">
        <v>5</v>
      </c>
      <c r="M10" s="11">
        <f t="shared" si="2"/>
        <v>4500000</v>
      </c>
      <c r="N10" s="10">
        <f t="shared" si="3"/>
        <v>2500000</v>
      </c>
      <c r="P10" s="12">
        <v>8.9300000000000004E-2</v>
      </c>
      <c r="Q10" s="10">
        <f t="shared" si="0"/>
        <v>714400</v>
      </c>
      <c r="S10" s="11">
        <f t="shared" si="18"/>
        <v>1285600</v>
      </c>
      <c r="U10" s="11">
        <f t="shared" si="4"/>
        <v>269976</v>
      </c>
      <c r="V10" s="11">
        <f t="shared" si="5"/>
        <v>1015624</v>
      </c>
      <c r="X10" s="11">
        <f t="shared" si="6"/>
        <v>1730024</v>
      </c>
      <c r="Y10" s="11">
        <f t="shared" si="7"/>
        <v>860127.68430768861</v>
      </c>
      <c r="AB10" s="3">
        <v>5</v>
      </c>
      <c r="AE10" s="10">
        <f t="shared" si="8"/>
        <v>40000</v>
      </c>
      <c r="AF10" s="11">
        <f t="shared" si="9"/>
        <v>4500000</v>
      </c>
      <c r="AG10" s="11">
        <f t="shared" si="10"/>
        <v>4162500</v>
      </c>
      <c r="AH10" s="10">
        <f t="shared" si="11"/>
        <v>300000</v>
      </c>
      <c r="AI10" s="11">
        <f t="shared" si="12"/>
        <v>4462500</v>
      </c>
      <c r="AK10" s="11">
        <f t="shared" si="13"/>
        <v>-2500</v>
      </c>
      <c r="AM10" s="11">
        <f t="shared" si="14"/>
        <v>-525</v>
      </c>
      <c r="AN10" s="11">
        <f t="shared" si="15"/>
        <v>-1975</v>
      </c>
      <c r="AP10" s="11">
        <f t="shared" si="16"/>
        <v>38025</v>
      </c>
      <c r="AQ10" s="11">
        <f t="shared" si="17"/>
        <v>18905.145359717473</v>
      </c>
      <c r="AT10" s="11">
        <f t="shared" si="1"/>
        <v>1017599</v>
      </c>
    </row>
    <row r="11" spans="2:46" x14ac:dyDescent="0.45">
      <c r="D11" t="s">
        <v>31</v>
      </c>
      <c r="E11" s="13">
        <v>2500000</v>
      </c>
      <c r="F11" t="s">
        <v>3</v>
      </c>
      <c r="I11" s="3">
        <v>6</v>
      </c>
      <c r="M11" s="11">
        <f t="shared" si="2"/>
        <v>4500000</v>
      </c>
      <c r="N11" s="10">
        <f t="shared" si="3"/>
        <v>2500000</v>
      </c>
      <c r="P11" s="12">
        <v>8.9200000000000002E-2</v>
      </c>
      <c r="Q11" s="10">
        <f t="shared" si="0"/>
        <v>713600</v>
      </c>
      <c r="S11" s="11">
        <f t="shared" si="18"/>
        <v>1286400</v>
      </c>
      <c r="U11" s="11">
        <f t="shared" si="4"/>
        <v>270144</v>
      </c>
      <c r="V11" s="11">
        <f t="shared" si="5"/>
        <v>1016256</v>
      </c>
      <c r="X11" s="11">
        <f t="shared" si="6"/>
        <v>1729856</v>
      </c>
      <c r="Y11" s="11">
        <f t="shared" si="7"/>
        <v>747864.48575318139</v>
      </c>
      <c r="AB11" s="3">
        <v>6</v>
      </c>
      <c r="AF11" s="11">
        <f t="shared" si="9"/>
        <v>4500000</v>
      </c>
      <c r="AG11" s="11">
        <f>$E$3*($E$18*(1+$E$19))</f>
        <v>4162500</v>
      </c>
      <c r="AH11" s="10">
        <f t="shared" si="11"/>
        <v>300000</v>
      </c>
      <c r="AI11" s="11">
        <f t="shared" si="12"/>
        <v>4462500</v>
      </c>
      <c r="AK11" s="11">
        <f t="shared" si="13"/>
        <v>37500</v>
      </c>
      <c r="AM11" s="11">
        <f t="shared" si="14"/>
        <v>7875</v>
      </c>
      <c r="AN11" s="11">
        <f t="shared" si="15"/>
        <v>29625</v>
      </c>
      <c r="AP11" s="11">
        <f t="shared" si="16"/>
        <v>29625</v>
      </c>
      <c r="AQ11" s="11">
        <f t="shared" si="17"/>
        <v>12807.70502887986</v>
      </c>
      <c r="AT11" s="11">
        <f t="shared" si="1"/>
        <v>986631</v>
      </c>
    </row>
    <row r="12" spans="2:46" x14ac:dyDescent="0.45">
      <c r="D12" t="s">
        <v>11</v>
      </c>
      <c r="E12" s="13">
        <v>500000</v>
      </c>
      <c r="I12" s="3">
        <v>7</v>
      </c>
      <c r="M12" s="11">
        <f t="shared" si="2"/>
        <v>4500000</v>
      </c>
      <c r="N12" s="10">
        <f t="shared" si="3"/>
        <v>2500000</v>
      </c>
      <c r="P12" s="12">
        <v>8.9300000000000004E-2</v>
      </c>
      <c r="Q12" s="10">
        <f t="shared" si="0"/>
        <v>714400</v>
      </c>
      <c r="S12" s="11">
        <f t="shared" si="18"/>
        <v>1285600</v>
      </c>
      <c r="U12" s="11">
        <f t="shared" si="4"/>
        <v>269976</v>
      </c>
      <c r="V12" s="11">
        <f t="shared" si="5"/>
        <v>1015624</v>
      </c>
      <c r="X12" s="11">
        <f t="shared" si="6"/>
        <v>1730024</v>
      </c>
      <c r="Y12" s="11">
        <f t="shared" si="7"/>
        <v>650380.10155590845</v>
      </c>
      <c r="AB12" s="3">
        <v>7</v>
      </c>
      <c r="AF12" s="11">
        <f t="shared" si="9"/>
        <v>4500000</v>
      </c>
      <c r="AG12" s="11">
        <f t="shared" si="10"/>
        <v>4162500</v>
      </c>
      <c r="AH12" s="10">
        <f t="shared" si="11"/>
        <v>300000</v>
      </c>
      <c r="AI12" s="11">
        <f t="shared" si="12"/>
        <v>4462500</v>
      </c>
      <c r="AK12" s="11">
        <f t="shared" si="13"/>
        <v>37500</v>
      </c>
      <c r="AM12" s="11">
        <f t="shared" si="14"/>
        <v>7875</v>
      </c>
      <c r="AN12" s="11">
        <f t="shared" si="15"/>
        <v>29625</v>
      </c>
      <c r="AP12" s="11">
        <f t="shared" si="16"/>
        <v>29625</v>
      </c>
      <c r="AQ12" s="11">
        <f t="shared" si="17"/>
        <v>11137.134807721621</v>
      </c>
      <c r="AT12" s="11">
        <f t="shared" si="1"/>
        <v>985999</v>
      </c>
    </row>
    <row r="13" spans="2:46" x14ac:dyDescent="0.45">
      <c r="D13" t="s">
        <v>32</v>
      </c>
      <c r="E13" s="2">
        <v>10</v>
      </c>
      <c r="F13" t="s">
        <v>8</v>
      </c>
      <c r="I13" s="3">
        <v>8</v>
      </c>
      <c r="M13" s="11">
        <f t="shared" si="2"/>
        <v>4500000</v>
      </c>
      <c r="N13" s="10">
        <f t="shared" si="3"/>
        <v>2500000</v>
      </c>
      <c r="P13" s="12">
        <v>4.4600000000000001E-2</v>
      </c>
      <c r="Q13" s="10">
        <f t="shared" si="0"/>
        <v>356800</v>
      </c>
      <c r="S13" s="11">
        <f t="shared" si="18"/>
        <v>1643200</v>
      </c>
      <c r="U13" s="11">
        <f t="shared" si="4"/>
        <v>345072</v>
      </c>
      <c r="V13" s="11">
        <f t="shared" si="5"/>
        <v>1298128</v>
      </c>
      <c r="X13" s="11">
        <f t="shared" si="6"/>
        <v>1654928</v>
      </c>
      <c r="Y13" s="11">
        <f t="shared" si="7"/>
        <v>540998.89878769033</v>
      </c>
      <c r="AB13" s="3">
        <v>8</v>
      </c>
      <c r="AF13" s="11">
        <f t="shared" si="9"/>
        <v>4500000</v>
      </c>
      <c r="AG13" s="11">
        <f t="shared" si="10"/>
        <v>4162500</v>
      </c>
      <c r="AH13" s="10">
        <f t="shared" si="11"/>
        <v>300000</v>
      </c>
      <c r="AI13" s="11">
        <f t="shared" si="12"/>
        <v>4462500</v>
      </c>
      <c r="AK13" s="11">
        <f t="shared" si="13"/>
        <v>37500</v>
      </c>
      <c r="AM13" s="11">
        <f t="shared" si="14"/>
        <v>7875</v>
      </c>
      <c r="AN13" s="11">
        <f t="shared" si="15"/>
        <v>29625</v>
      </c>
      <c r="AP13" s="11">
        <f t="shared" si="16"/>
        <v>29625</v>
      </c>
      <c r="AQ13" s="11">
        <f t="shared" si="17"/>
        <v>9684.4650501927135</v>
      </c>
      <c r="AT13" s="11">
        <f t="shared" si="1"/>
        <v>1268503</v>
      </c>
    </row>
    <row r="14" spans="2:46" x14ac:dyDescent="0.45">
      <c r="I14" s="3">
        <v>9</v>
      </c>
      <c r="M14" s="11">
        <f t="shared" si="2"/>
        <v>4500000</v>
      </c>
      <c r="N14" s="10">
        <f t="shared" si="3"/>
        <v>2500000</v>
      </c>
      <c r="P14" s="12"/>
      <c r="Q14" s="10"/>
      <c r="S14" s="11">
        <f t="shared" si="18"/>
        <v>2000000</v>
      </c>
      <c r="U14" s="11">
        <f t="shared" si="4"/>
        <v>420000</v>
      </c>
      <c r="V14" s="11">
        <f t="shared" si="5"/>
        <v>1580000</v>
      </c>
      <c r="X14" s="11">
        <f t="shared" si="6"/>
        <v>1580000</v>
      </c>
      <c r="Y14" s="11">
        <f t="shared" si="7"/>
        <v>449134.61102343025</v>
      </c>
      <c r="AB14" s="3">
        <v>9</v>
      </c>
      <c r="AF14" s="11">
        <f t="shared" si="9"/>
        <v>4500000</v>
      </c>
      <c r="AG14" s="11">
        <f t="shared" si="10"/>
        <v>4162500</v>
      </c>
      <c r="AH14" s="10">
        <f t="shared" si="11"/>
        <v>300000</v>
      </c>
      <c r="AI14" s="11">
        <f t="shared" si="12"/>
        <v>4462500</v>
      </c>
      <c r="AK14" s="11">
        <f t="shared" si="13"/>
        <v>37500</v>
      </c>
      <c r="AM14" s="11">
        <f t="shared" si="14"/>
        <v>7875</v>
      </c>
      <c r="AN14" s="11">
        <f t="shared" si="15"/>
        <v>29625</v>
      </c>
      <c r="AP14" s="11">
        <f t="shared" si="16"/>
        <v>29625</v>
      </c>
      <c r="AQ14" s="11">
        <f t="shared" si="17"/>
        <v>8421.2739566893179</v>
      </c>
      <c r="AT14" s="11">
        <f t="shared" si="1"/>
        <v>1550375</v>
      </c>
    </row>
    <row r="15" spans="2:46" x14ac:dyDescent="0.45">
      <c r="C15" s="14" t="s">
        <v>33</v>
      </c>
      <c r="I15" s="3">
        <v>10</v>
      </c>
      <c r="L15" s="10">
        <f>E12</f>
        <v>500000</v>
      </c>
      <c r="M15" s="11">
        <f t="shared" si="2"/>
        <v>4500000</v>
      </c>
      <c r="N15" s="10">
        <f t="shared" si="3"/>
        <v>2500000</v>
      </c>
      <c r="P15" s="12"/>
      <c r="Q15" s="10"/>
      <c r="S15" s="11">
        <f>M15-N15-Q15+L15</f>
        <v>2500000</v>
      </c>
      <c r="U15" s="11">
        <f t="shared" si="4"/>
        <v>525000</v>
      </c>
      <c r="V15" s="11">
        <f>S15-U15</f>
        <v>1975000</v>
      </c>
      <c r="X15" s="11">
        <f t="shared" si="6"/>
        <v>1975000</v>
      </c>
      <c r="Y15" s="11">
        <f t="shared" si="7"/>
        <v>488189.79459068511</v>
      </c>
      <c r="AB15" s="3">
        <v>10</v>
      </c>
      <c r="AF15" s="11">
        <f t="shared" si="9"/>
        <v>4500000</v>
      </c>
      <c r="AG15" s="11">
        <f t="shared" si="10"/>
        <v>4162500</v>
      </c>
      <c r="AH15" s="10">
        <f t="shared" si="11"/>
        <v>300000</v>
      </c>
      <c r="AI15" s="11">
        <f t="shared" si="12"/>
        <v>4462500</v>
      </c>
      <c r="AK15" s="11">
        <f t="shared" si="13"/>
        <v>37500</v>
      </c>
      <c r="AM15" s="11">
        <f t="shared" si="14"/>
        <v>7875</v>
      </c>
      <c r="AN15" s="11">
        <f t="shared" si="15"/>
        <v>29625</v>
      </c>
      <c r="AP15" s="11">
        <f t="shared" si="16"/>
        <v>29625</v>
      </c>
      <c r="AQ15" s="11">
        <f t="shared" si="17"/>
        <v>7322.8469188602767</v>
      </c>
      <c r="AT15" s="11">
        <f t="shared" si="1"/>
        <v>1945375</v>
      </c>
    </row>
    <row r="16" spans="2:46" x14ac:dyDescent="0.45">
      <c r="D16" t="s">
        <v>10</v>
      </c>
      <c r="E16" s="13">
        <v>200000</v>
      </c>
      <c r="Y16" s="11"/>
      <c r="AE16" s="15"/>
      <c r="AP16" s="11"/>
      <c r="AQ16" s="11"/>
      <c r="AR16" s="11"/>
    </row>
    <row r="17" spans="4:46" x14ac:dyDescent="0.45">
      <c r="D17" t="s">
        <v>34</v>
      </c>
      <c r="E17" s="2">
        <v>5</v>
      </c>
      <c r="F17" t="s">
        <v>8</v>
      </c>
      <c r="V17" s="16">
        <f>IRR(V5:V15)</f>
        <v>3.1589793675483202E-2</v>
      </c>
      <c r="Y17" s="11"/>
      <c r="Z17" s="2"/>
      <c r="AA17" s="2"/>
      <c r="AD17" s="2"/>
      <c r="AE17" s="2"/>
      <c r="AF17" s="2"/>
      <c r="AG17" s="2"/>
      <c r="AH17" s="2"/>
      <c r="AI17" s="2"/>
      <c r="AK17" s="2"/>
      <c r="AM17" s="2"/>
      <c r="AN17" s="16">
        <f>IRR(AN5:AN15)</f>
        <v>-4.3195942782051522E-2</v>
      </c>
      <c r="AQ17" s="11"/>
      <c r="AR17" s="11"/>
      <c r="AS17" s="2"/>
      <c r="AT17" s="16">
        <f>IRR(AT5:AT15)</f>
        <v>3.3444497662827199E-2</v>
      </c>
    </row>
    <row r="18" spans="4:46" x14ac:dyDescent="0.45">
      <c r="D18" t="s">
        <v>35</v>
      </c>
      <c r="E18" s="17">
        <v>33.299999999999997</v>
      </c>
      <c r="F18" t="s">
        <v>36</v>
      </c>
      <c r="V18" s="2" t="s">
        <v>37</v>
      </c>
      <c r="Y18" s="2"/>
      <c r="Z18" s="2"/>
      <c r="AA18" s="2"/>
      <c r="AD18" s="2"/>
      <c r="AE18" s="2"/>
      <c r="AF18" s="2"/>
      <c r="AG18" s="2"/>
      <c r="AH18" s="2"/>
      <c r="AI18" s="2"/>
      <c r="AK18" s="2"/>
      <c r="AM18" s="2"/>
      <c r="AN18" s="2" t="s">
        <v>37</v>
      </c>
      <c r="AQ18" s="2"/>
      <c r="AR18" s="2"/>
      <c r="AS18" s="2"/>
      <c r="AT18" s="2" t="s">
        <v>37</v>
      </c>
    </row>
    <row r="19" spans="4:46" x14ac:dyDescent="0.45">
      <c r="D19" t="s">
        <v>38</v>
      </c>
      <c r="E19" s="9">
        <v>1.5</v>
      </c>
    </row>
    <row r="20" spans="4:46" x14ac:dyDescent="0.45">
      <c r="D20" t="s">
        <v>39</v>
      </c>
      <c r="E20" s="13">
        <v>300000</v>
      </c>
      <c r="F20" t="s">
        <v>3</v>
      </c>
    </row>
  </sheetData>
  <mergeCells count="4">
    <mergeCell ref="K3:X3"/>
    <mergeCell ref="Y3:Z3"/>
    <mergeCell ref="AD3:AP3"/>
    <mergeCell ref="AQ3:AR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 Statement</vt:lpstr>
      <vt:lpstr>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</dc:creator>
  <cp:lastModifiedBy>Alan Franklin</cp:lastModifiedBy>
  <dcterms:created xsi:type="dcterms:W3CDTF">2015-06-05T18:17:20Z</dcterms:created>
  <dcterms:modified xsi:type="dcterms:W3CDTF">2026-10-18T00:35:09Z</dcterms:modified>
</cp:coreProperties>
</file>